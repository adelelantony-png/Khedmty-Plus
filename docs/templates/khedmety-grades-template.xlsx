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درجات" sheetId="1" state="visible" r:id="rId3"/>
    <sheet name="النتائج" sheetId="2" state="visible" r:id="rId4"/>
    <sheet name="الإعدادات" sheetId="3" state="visible" r:id="rId5"/>
    <sheet name="تعليمات" sheetId="4" state="visible" r:id="rId6"/>
  </sheets>
  <definedNames>
    <definedName function="false" hidden="false" localSheetId="0" name="_xlnm.Print_Titles" vbProcedure="false">الدرجات!$2:$2</definedName>
    <definedName function="false" hidden="true" localSheetId="1" name="_xlnm._FilterDatabase" vbProcedure="false">النتائج!$A$4:$L$60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<sst xmlns="http://schemas.openxmlformats.org/spreadsheetml/2006/main" count="222" uniqueCount="158">
  <si>
    <t xml:space="preserve">code</t>
  </si>
  <si>
    <t xml:space="preserve">name</t>
  </si>
  <si>
    <t xml:space="preserve">s1:w</t>
  </si>
  <si>
    <t xml:space="preserve">s1:o</t>
  </si>
  <si>
    <t xml:space="preserve">s1:r</t>
  </si>
  <si>
    <t xml:space="preserve">s2:w</t>
  </si>
  <si>
    <t xml:space="preserve">s2:o</t>
  </si>
  <si>
    <t xml:space="preserve">s2:r</t>
  </si>
  <si>
    <t xml:space="preserve">s3:w</t>
  </si>
  <si>
    <t xml:space="preserve">s3:o</t>
  </si>
  <si>
    <t xml:space="preserve">s3:r</t>
  </si>
  <si>
    <t xml:space="preserve">s4:w</t>
  </si>
  <si>
    <t xml:space="preserve">s4:o</t>
  </si>
  <si>
    <t xml:space="preserve">s4:r</t>
  </si>
  <si>
    <t xml:space="preserve">s5:w</t>
  </si>
  <si>
    <t xml:space="preserve">s5:o</t>
  </si>
  <si>
    <t xml:space="preserve">s5:r</t>
  </si>
  <si>
    <t xml:space="preserve">s6:w</t>
  </si>
  <si>
    <t xml:space="preserve">s6:o</t>
  </si>
  <si>
    <t xml:space="preserve">s6:r</t>
  </si>
  <si>
    <t xml:space="preserve">s7:w</t>
  </si>
  <si>
    <t xml:space="preserve">s7:o</t>
  </si>
  <si>
    <t xml:space="preserve">s7:r</t>
  </si>
  <si>
    <t xml:space="preserve">الكود</t>
  </si>
  <si>
    <t xml:space="preserve">الاسم</t>
  </si>
  <si>
    <t xml:space="preserve">العقيدة المسيحية
تحريري</t>
  </si>
  <si>
    <t xml:space="preserve">العقيدة المسيحية
شفوي</t>
  </si>
  <si>
    <t xml:space="preserve">العقيدة المسيحية
إعادة التحريري</t>
  </si>
  <si>
    <t xml:space="preserve">العهد القديم
تحريري</t>
  </si>
  <si>
    <t xml:space="preserve">العهد القديم
شفوي</t>
  </si>
  <si>
    <t xml:space="preserve">العهد القديم
إعادة التحريري</t>
  </si>
  <si>
    <t xml:space="preserve">العهد الجديد
تحريري</t>
  </si>
  <si>
    <t xml:space="preserve">العهد الجديد
شفوي</t>
  </si>
  <si>
    <t xml:space="preserve">العهد الجديد
إعادة التحريري</t>
  </si>
  <si>
    <t xml:space="preserve">الطقوس والألحان
تحريري</t>
  </si>
  <si>
    <t xml:space="preserve">الطقوس والألحان
شفوي</t>
  </si>
  <si>
    <t xml:space="preserve">الطقوس والألحان
إعادة التحريري</t>
  </si>
  <si>
    <t xml:space="preserve">تاريخ الكنيسة
تحريري</t>
  </si>
  <si>
    <t xml:space="preserve">تاريخ الكنيسة
شفوي</t>
  </si>
  <si>
    <t xml:space="preserve">تاريخ الكنيسة
إعادة التحريري</t>
  </si>
  <si>
    <t xml:space="preserve">الرعاية والافتقاد
تحريري</t>
  </si>
  <si>
    <t xml:space="preserve">الرعاية والافتقاد
شفوي</t>
  </si>
  <si>
    <t xml:space="preserve">الرعاية والافتقاد
إعادة التحريري</t>
  </si>
  <si>
    <t xml:space="preserve">اللاهوت المقارن
تحريري</t>
  </si>
  <si>
    <t xml:space="preserve">اللاهوت المقارن
شفوي</t>
  </si>
  <si>
    <t xml:space="preserve">اللاهوت المقارن
إعادة التحريري</t>
  </si>
  <si>
    <t xml:space="preserve">1001</t>
  </si>
  <si>
    <t xml:space="preserve">مينا جرجس</t>
  </si>
  <si>
    <t xml:space="preserve">1002</t>
  </si>
  <si>
    <t xml:space="preserve">مريم سمير</t>
  </si>
  <si>
    <t xml:space="preserve">1003</t>
  </si>
  <si>
    <t xml:space="preserve">بيتر عادل</t>
  </si>
  <si>
    <t xml:space="preserve">1004</t>
  </si>
  <si>
    <t xml:space="preserve">مارتينا ناجي</t>
  </si>
  <si>
    <t xml:space="preserve">1005</t>
  </si>
  <si>
    <t xml:space="preserve">كيرلس فادي</t>
  </si>
  <si>
    <t xml:space="preserve">1006</t>
  </si>
  <si>
    <t xml:space="preserve">إيريني صبحي</t>
  </si>
  <si>
    <t xml:space="preserve">1007</t>
  </si>
  <si>
    <t xml:space="preserve">مارك ماهر</t>
  </si>
  <si>
    <t xml:space="preserve">1008</t>
  </si>
  <si>
    <t xml:space="preserve">فيرينا نبيل</t>
  </si>
  <si>
    <t xml:space="preserve">النتائج المحسوبة (للقراءة فقط، لا تُستورد)</t>
  </si>
  <si>
    <t xml:space="preserve">ناجح</t>
  </si>
  <si>
    <t xml:space="preserve">ناجح برأفة</t>
  </si>
  <si>
    <t xml:space="preserve">إعادة مطلوبة</t>
  </si>
  <si>
    <t xml:space="preserve">راسب</t>
  </si>
  <si>
    <t xml:space="preserve">قيد المراجعة</t>
  </si>
  <si>
    <t xml:space="preserve">لم تكتمل</t>
  </si>
  <si>
    <t xml:space="preserve">المادة</t>
  </si>
  <si>
    <t xml:space="preserve">تحريري</t>
  </si>
  <si>
    <t xml:space="preserve">شفوي</t>
  </si>
  <si>
    <t xml:space="preserve">إعادة</t>
  </si>
  <si>
    <t xml:space="preserve">التحريري المعتمد</t>
  </si>
  <si>
    <t xml:space="preserve">المجموع قبل الرأفة</t>
  </si>
  <si>
    <t xml:space="preserve">رأفة</t>
  </si>
  <si>
    <t xml:space="preserve">المجموع</t>
  </si>
  <si>
    <t xml:space="preserve">النسبة</t>
  </si>
  <si>
    <t xml:space="preserve">النتيجة</t>
  </si>
  <si>
    <t xml:space="preserve">الإعدادات (تحدد قواعد الحساب في النتائج)</t>
  </si>
  <si>
    <t xml:space="preserve">النهاية العظمى للتحريري</t>
  </si>
  <si>
    <t xml:space="preserve">مدخل من أمين الخدمة (مثال)</t>
  </si>
  <si>
    <t xml:space="preserve">النهاية العظمى للشفوي</t>
  </si>
  <si>
    <t xml:space="preserve">حد النجاح (%)</t>
  </si>
  <si>
    <t xml:space="preserve">مدخل من أمين الخدمة. هو نفسه حد اللون الأحمر</t>
  </si>
  <si>
    <t xml:space="preserve">سقف الرأفة (%)</t>
  </si>
  <si>
    <t xml:space="preserve">مدخل من أمين الخدمة. تُمنح فقط إذا أوصلت للنجاح</t>
  </si>
  <si>
    <t xml:space="preserve">قاعدة الإعادة</t>
  </si>
  <si>
    <t xml:space="preserve">سقف</t>
  </si>
  <si>
    <t xml:space="preserve">سقف = تحل محل التحريري وسقفها حد النجاح. كاملة = بالدرجة كاملة</t>
  </si>
  <si>
    <t xml:space="preserve">درجة المادة الكاملة</t>
  </si>
  <si>
    <t xml:space="preserve">مجموع النهايتين</t>
  </si>
  <si>
    <t xml:space="preserve">درجة النجاح</t>
  </si>
  <si>
    <t xml:space="preserve">حد النجاح × درجة المادة</t>
  </si>
  <si>
    <t xml:space="preserve">الرأفة القصوى بالدرجات</t>
  </si>
  <si>
    <t xml:space="preserve">سقف الرأفة × درجة المادة</t>
  </si>
  <si>
    <t xml:space="preserve">سقف درجة الإعادة</t>
  </si>
  <si>
    <t xml:space="preserve">التحريري × حد النجاح (عند قاعدة «سقف»)</t>
  </si>
  <si>
    <t xml:space="preserve">بيانات الملف</t>
  </si>
  <si>
    <t xml:space="preserve">إصدار صيغة الملف</t>
  </si>
  <si>
    <t xml:space="preserve">kd-grades-v1</t>
  </si>
  <si>
    <t xml:space="preserve">يتحقق منه الاستيراد. لا تعدله</t>
  </si>
  <si>
    <t xml:space="preserve">الفرقة</t>
  </si>
  <si>
    <t xml:space="preserve">الفرقة الأولى</t>
  </si>
  <si>
    <t xml:space="preserve">يجب أن تطابق الفرقة المختارة عند الاستيراد</t>
  </si>
  <si>
    <t xml:space="preserve">العام الدراسي</t>
  </si>
  <si>
    <t xml:space="preserve">2026/2027</t>
  </si>
  <si>
    <t xml:space="preserve">قيمة مثال</t>
  </si>
  <si>
    <t xml:space="preserve">المواد (الترتيب ثابت ويطابق أعمدة ورقة الدرجات)</t>
  </si>
  <si>
    <t xml:space="preserve">المعرّف</t>
  </si>
  <si>
    <t xml:space="preserve">اسم المادة</t>
  </si>
  <si>
    <t xml:space="preserve">s1</t>
  </si>
  <si>
    <t xml:space="preserve">العقيدة المسيحية</t>
  </si>
  <si>
    <t xml:space="preserve">s2</t>
  </si>
  <si>
    <t xml:space="preserve">العهد القديم</t>
  </si>
  <si>
    <t xml:space="preserve">s3</t>
  </si>
  <si>
    <t xml:space="preserve">العهد الجديد</t>
  </si>
  <si>
    <t xml:space="preserve">s4</t>
  </si>
  <si>
    <t xml:space="preserve">الطقوس والألحان</t>
  </si>
  <si>
    <t xml:space="preserve">s5</t>
  </si>
  <si>
    <t xml:space="preserve">تاريخ الكنيسة</t>
  </si>
  <si>
    <t xml:space="preserve">s6</t>
  </si>
  <si>
    <t xml:space="preserve">الرعاية والافتقاد</t>
  </si>
  <si>
    <t xml:space="preserve">s7</t>
  </si>
  <si>
    <t xml:space="preserve">اللاهوت المقارن</t>
  </si>
  <si>
    <t xml:space="preserve">تعليمات استخدام ملف الدرجات القياسي</t>
  </si>
  <si>
    <t xml:space="preserve">الاستخدام</t>
  </si>
  <si>
    <t xml:space="preserve">1</t>
  </si>
  <si>
    <t xml:space="preserve">هذا الملف هو صيغة التصدير والاستيراد نفسها: ما يُصدَّر من التطبيق يُرفع كما هو بعد تعديله.</t>
  </si>
  <si>
    <t xml:space="preserve">2</t>
  </si>
  <si>
    <t xml:space="preserve">عدّل خلايا ورقة «الدرجات» فقط (الخلايا بخط أزرق). ورقة «النتائج» محسوبة ولا تُستورد.</t>
  </si>
  <si>
    <t xml:space="preserve">3</t>
  </si>
  <si>
    <t xml:space="preserve">القيم المقبولة في خلية الدرجة: رقم بين 0 والنهاية العظمى، أو إحدى الكلمات: غائب / بعذر / محجوب.</t>
  </si>
  <si>
    <t xml:space="preserve">4</t>
  </si>
  <si>
    <t xml:space="preserve">الخلية الفارغة تعني «لم تُرصد» ولا تمحو درجة موجودة في التطبيق عند الاستيراد.</t>
  </si>
  <si>
    <t xml:space="preserve">5</t>
  </si>
  <si>
    <t xml:space="preserve">الإعادة تخص التحريري فقط. املأ خانة «إعادة التحريري» للمخدومين الذين أعادوا الامتحان فقط.</t>
  </si>
  <si>
    <t xml:space="preserve">6</t>
  </si>
  <si>
    <t xml:space="preserve">«محجوب» لأمين الخدمة فقط. إن استورده خادم، تُحوَّل الخلية إلى ملاحظة لأمين الخدمة بدل الحجب.</t>
  </si>
  <si>
    <t xml:space="preserve">7</t>
  </si>
  <si>
    <t xml:space="preserve">قبل الحفظ في التطبيق تظهر شاشة معاينة بالأخطاء (كود غير مسجل، درجة أكبر من النهاية، تكرار).</t>
  </si>
  <si>
    <t xml:space="preserve">لا تفعل</t>
  </si>
  <si>
    <t xml:space="preserve">•</t>
  </si>
  <si>
    <t xml:space="preserve">لا تغيّر الصف الأول المخفي في ورقة «الدرجات» (مفاتيح الأعمدة)، ولا ترتيب الأعمدة أو أسماء الأوراق.</t>
  </si>
  <si>
    <t xml:space="preserve">لا تحذف كود المخدوم أو تغيّره. الاستيراد يطابق المخدوم بالكود وليس بالاسم.</t>
  </si>
  <si>
    <t xml:space="preserve">الألوان (تظهر تلقائياً)</t>
  </si>
  <si>
    <t xml:space="preserve">أحمر</t>
  </si>
  <si>
    <t xml:space="preserve">درجة أقل من حد النجاح في الإعدادات</t>
  </si>
  <si>
    <t xml:space="preserve">رمادي</t>
  </si>
  <si>
    <t xml:space="preserve">غائب أو بعذر</t>
  </si>
  <si>
    <t xml:space="preserve">أسود</t>
  </si>
  <si>
    <t xml:space="preserve">درجة محجوبة (يقرّرها أمين الخدمة)</t>
  </si>
  <si>
    <t xml:space="preserve">مثال لصف صحيح</t>
  </si>
  <si>
    <t xml:space="preserve">العقيدة
تحريري</t>
  </si>
  <si>
    <t xml:space="preserve">العقيدة
شفوي</t>
  </si>
  <si>
    <t xml:space="preserve">العقيدة
إعادة</t>
  </si>
  <si>
    <t xml:space="preserve">مثال آخر: خانة التحريري = غائب ثم خانة الإعادة = 49 (مخدوم غاب ثم أعاد الامتحان).</t>
  </si>
  <si>
    <t xml:space="preserve">هذا نموذج فارغ بأسماء تجريبية. في التصدير الحقيقي تُملأ القائمة بمخدومي الفرقة.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</si>
</sst>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94A3B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color rgb="FF0C246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5F6B80"/>
      <name val="Arial"/>
      <family val="0"/>
      <charset val="1"/>
    </font>
    <font>
      <b val="true"/>
      <sz val="12"/>
      <color rgb="FF0C246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C2461"/>
      <name val="Arial"/>
      <family val="0"/>
      <charset val="1"/>
    </font>
    <font>
      <b val="true"/>
      <sz val="12"/>
      <color rgb="FF1E379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2461"/>
        <bgColor rgb="FF1E3799"/>
      </patternFill>
    </fill>
    <fill>
      <patternFill patternType="solid">
        <fgColor rgb="FF1E3799"/>
        <bgColor rgb="FF0C2461"/>
      </patternFill>
    </fill>
    <fill>
      <patternFill patternType="solid">
        <fgColor rgb="FF2F55C4"/>
        <bgColor rgb="FF1E3799"/>
      </patternFill>
    </fill>
    <fill>
      <patternFill patternType="solid">
        <fgColor rgb="FFF3F6FC"/>
        <bgColor rgb="FFFFFFFF"/>
      </patternFill>
    </fill>
    <fill>
      <patternFill patternType="solid">
        <fgColor rgb="FFFFF8DC"/>
        <bgColor rgb="FFF3F6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  <color rgb="FFFFFFFF"/>
      </font>
    </dxf>
    <dxf>
      <font>
        <name val="Arial"/>
        <charset val="1"/>
        <family val="0"/>
        <color rgb="FF475569"/>
      </font>
      <fill>
        <patternFill>
          <bgColor rgb="FFE5E7EB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8E8"/>
        </patternFill>
      </fill>
    </dxf>
    <dxf>
      <fill>
        <patternFill patternType="solid">
          <fgColor rgb="FF0C24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ont>
        <name val="Arial"/>
        <charset val="1"/>
        <family val="0"/>
        <b val="1"/>
        <color rgb="FFB42318"/>
      </font>
    </dxf>
    <dxf>
      <font>
        <name val="Arial"/>
        <charset val="1"/>
        <family val="0"/>
        <b val="1"/>
        <color rgb="FF12704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704B"/>
      <rgbColor rgb="FFC0C0C0"/>
      <rgbColor rgb="FF64748B"/>
      <rgbColor rgb="FF9999FF"/>
      <rgbColor rgb="FF993366"/>
      <rgbColor rgb="FFFFF8DC"/>
      <rgbColor rgb="FFF3F6FC"/>
      <rgbColor rgb="FF660066"/>
      <rgbColor rgb="FFFF8080"/>
      <rgbColor rgb="FF0066CC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DE8E8"/>
      <rgbColor rgb="FF99CCFF"/>
      <rgbColor rgb="FFFF99CC"/>
      <rgbColor rgb="FFCC99FF"/>
      <rgbColor rgb="FFFFCC99"/>
      <rgbColor rgb="FF2F55C4"/>
      <rgbColor rgb="FF33CCCC"/>
      <rgbColor rgb="FF99CC00"/>
      <rgbColor rgb="FFFFCC00"/>
      <rgbColor rgb="FFC99A2E"/>
      <rgbColor rgb="FFFF6600"/>
      <rgbColor rgb="FF5F6B80"/>
      <rgbColor rgb="FF94A3B8"/>
      <rgbColor rgb="FF0C2461"/>
      <rgbColor rgb="FF1F9D6B"/>
      <rgbColor rgb="FF003300"/>
      <rgbColor rgb="FF333300"/>
      <rgbColor rgb="FFB42318"/>
      <rgbColor rgb="FF993366"/>
      <rgbColor rgb="FF1E3799"/>
      <rgbColor rgb="FF4755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799"/>
    <pageSetUpPr fitToPage="true"/>
  </sheetPr>
  <dimension ref="A1:W20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23" min="3" style="0" width="12.5"/>
  </cols>
  <sheetData>
    <row r="1" customFormat="false" ht="15" hidden="tru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45.75" hidden="false" customHeight="true" outlineLevel="0" collapsed="false">
      <c r="A2" s="2" t="s">
        <v>23</v>
      </c>
      <c r="B2" s="2" t="s">
        <v>24</v>
      </c>
      <c r="C2" s="3" t="s">
        <v>25</v>
      </c>
      <c r="D2" s="3" t="s">
        <v>26</v>
      </c>
      <c r="E2" s="3" t="s">
        <v>27</v>
      </c>
      <c r="F2" s="4" t="s">
        <v>28</v>
      </c>
      <c r="G2" s="4" t="s">
        <v>29</v>
      </c>
      <c r="H2" s="4" t="s">
        <v>30</v>
      </c>
      <c r="I2" s="3" t="s">
        <v>31</v>
      </c>
      <c r="J2" s="3" t="s">
        <v>32</v>
      </c>
      <c r="K2" s="3" t="s">
        <v>33</v>
      </c>
      <c r="L2" s="4" t="s">
        <v>34</v>
      </c>
      <c r="M2" s="4" t="s">
        <v>35</v>
      </c>
      <c r="N2" s="4" t="s">
        <v>36</v>
      </c>
      <c r="O2" s="3" t="s">
        <v>37</v>
      </c>
      <c r="P2" s="3" t="s">
        <v>38</v>
      </c>
      <c r="Q2" s="3" t="s">
        <v>39</v>
      </c>
      <c r="R2" s="4" t="s">
        <v>40</v>
      </c>
      <c r="S2" s="4" t="s">
        <v>41</v>
      </c>
      <c r="T2" s="4" t="s">
        <v>42</v>
      </c>
      <c r="U2" s="3" t="s">
        <v>43</v>
      </c>
      <c r="V2" s="3" t="s">
        <v>44</v>
      </c>
      <c r="W2" s="3" t="s">
        <v>45</v>
      </c>
    </row>
    <row r="3" customFormat="false" ht="15" hidden="false" customHeight="false" outlineLevel="0" collapsed="false">
      <c r="A3" s="5" t="s">
        <v>46</v>
      </c>
      <c r="B3" s="6" t="s">
        <v>47</v>
      </c>
      <c r="C3" s="7"/>
      <c r="D3" s="7"/>
      <c r="E3" s="7"/>
      <c r="F3" s="8"/>
      <c r="G3" s="8"/>
      <c r="H3" s="8"/>
      <c r="I3" s="7"/>
      <c r="J3" s="7"/>
      <c r="K3" s="7"/>
      <c r="L3" s="8"/>
      <c r="M3" s="8"/>
      <c r="N3" s="8"/>
      <c r="O3" s="7"/>
      <c r="P3" s="7"/>
      <c r="Q3" s="7"/>
      <c r="R3" s="8"/>
      <c r="S3" s="8"/>
      <c r="T3" s="8"/>
      <c r="U3" s="7"/>
      <c r="V3" s="7"/>
      <c r="W3" s="7"/>
    </row>
    <row r="4" customFormat="false" ht="15" hidden="false" customHeight="false" outlineLevel="0" collapsed="false">
      <c r="A4" s="5" t="s">
        <v>48</v>
      </c>
      <c r="B4" s="6" t="s">
        <v>49</v>
      </c>
      <c r="C4" s="7"/>
      <c r="D4" s="7"/>
      <c r="E4" s="7"/>
      <c r="F4" s="8"/>
      <c r="G4" s="8"/>
      <c r="H4" s="8"/>
      <c r="I4" s="7"/>
      <c r="J4" s="7"/>
      <c r="K4" s="7"/>
      <c r="L4" s="8"/>
      <c r="M4" s="8"/>
      <c r="N4" s="8"/>
      <c r="O4" s="7"/>
      <c r="P4" s="7"/>
      <c r="Q4" s="7"/>
      <c r="R4" s="8"/>
      <c r="S4" s="8"/>
      <c r="T4" s="8"/>
      <c r="U4" s="7"/>
      <c r="V4" s="7"/>
      <c r="W4" s="7"/>
    </row>
    <row r="5" customFormat="false" ht="15" hidden="false" customHeight="false" outlineLevel="0" collapsed="false">
      <c r="A5" s="5" t="s">
        <v>50</v>
      </c>
      <c r="B5" s="6" t="s">
        <v>51</v>
      </c>
      <c r="C5" s="7"/>
      <c r="D5" s="7"/>
      <c r="E5" s="7"/>
      <c r="F5" s="8"/>
      <c r="G5" s="8"/>
      <c r="H5" s="8"/>
      <c r="I5" s="7"/>
      <c r="J5" s="7"/>
      <c r="K5" s="7"/>
      <c r="L5" s="8"/>
      <c r="M5" s="8"/>
      <c r="N5" s="8"/>
      <c r="O5" s="7"/>
      <c r="P5" s="7"/>
      <c r="Q5" s="7"/>
      <c r="R5" s="8"/>
      <c r="S5" s="8"/>
      <c r="T5" s="8"/>
      <c r="U5" s="7"/>
      <c r="V5" s="7"/>
      <c r="W5" s="7"/>
    </row>
    <row r="6" customFormat="false" ht="15" hidden="false" customHeight="false" outlineLevel="0" collapsed="false">
      <c r="A6" s="5" t="s">
        <v>52</v>
      </c>
      <c r="B6" s="6" t="s">
        <v>53</v>
      </c>
      <c r="C6" s="7"/>
      <c r="D6" s="7"/>
      <c r="E6" s="7"/>
      <c r="F6" s="8"/>
      <c r="G6" s="8"/>
      <c r="H6" s="8"/>
      <c r="I6" s="7"/>
      <c r="J6" s="7"/>
      <c r="K6" s="7"/>
      <c r="L6" s="8"/>
      <c r="M6" s="8"/>
      <c r="N6" s="8"/>
      <c r="O6" s="7"/>
      <c r="P6" s="7"/>
      <c r="Q6" s="7"/>
      <c r="R6" s="8"/>
      <c r="S6" s="8"/>
      <c r="T6" s="8"/>
      <c r="U6" s="7"/>
      <c r="V6" s="7"/>
      <c r="W6" s="7"/>
    </row>
    <row r="7" customFormat="false" ht="15" hidden="false" customHeight="false" outlineLevel="0" collapsed="false">
      <c r="A7" s="5" t="s">
        <v>54</v>
      </c>
      <c r="B7" s="6" t="s">
        <v>55</v>
      </c>
      <c r="C7" s="7"/>
      <c r="D7" s="7"/>
      <c r="E7" s="7"/>
      <c r="F7" s="8"/>
      <c r="G7" s="8"/>
      <c r="H7" s="8"/>
      <c r="I7" s="7"/>
      <c r="J7" s="7"/>
      <c r="K7" s="7"/>
      <c r="L7" s="8"/>
      <c r="M7" s="8"/>
      <c r="N7" s="8"/>
      <c r="O7" s="7"/>
      <c r="P7" s="7"/>
      <c r="Q7" s="7"/>
      <c r="R7" s="8"/>
      <c r="S7" s="8"/>
      <c r="T7" s="8"/>
      <c r="U7" s="7"/>
      <c r="V7" s="7"/>
      <c r="W7" s="7"/>
    </row>
    <row r="8" customFormat="false" ht="15" hidden="false" customHeight="false" outlineLevel="0" collapsed="false">
      <c r="A8" s="5" t="s">
        <v>56</v>
      </c>
      <c r="B8" s="6" t="s">
        <v>57</v>
      </c>
      <c r="C8" s="7"/>
      <c r="D8" s="7"/>
      <c r="E8" s="7"/>
      <c r="F8" s="8"/>
      <c r="G8" s="8"/>
      <c r="H8" s="8"/>
      <c r="I8" s="7"/>
      <c r="J8" s="7"/>
      <c r="K8" s="7"/>
      <c r="L8" s="8"/>
      <c r="M8" s="8"/>
      <c r="N8" s="8"/>
      <c r="O8" s="7"/>
      <c r="P8" s="7"/>
      <c r="Q8" s="7"/>
      <c r="R8" s="8"/>
      <c r="S8" s="8"/>
      <c r="T8" s="8"/>
      <c r="U8" s="7"/>
      <c r="V8" s="7"/>
      <c r="W8" s="7"/>
    </row>
    <row r="9" customFormat="false" ht="15" hidden="false" customHeight="false" outlineLevel="0" collapsed="false">
      <c r="A9" s="5" t="s">
        <v>58</v>
      </c>
      <c r="B9" s="6" t="s">
        <v>59</v>
      </c>
      <c r="C9" s="7"/>
      <c r="D9" s="7"/>
      <c r="E9" s="7"/>
      <c r="F9" s="8"/>
      <c r="G9" s="8"/>
      <c r="H9" s="8"/>
      <c r="I9" s="7"/>
      <c r="J9" s="7"/>
      <c r="K9" s="7"/>
      <c r="L9" s="8"/>
      <c r="M9" s="8"/>
      <c r="N9" s="8"/>
      <c r="O9" s="7"/>
      <c r="P9" s="7"/>
      <c r="Q9" s="7"/>
      <c r="R9" s="8"/>
      <c r="S9" s="8"/>
      <c r="T9" s="8"/>
      <c r="U9" s="7"/>
      <c r="V9" s="7"/>
      <c r="W9" s="7"/>
    </row>
    <row r="10" customFormat="false" ht="15" hidden="false" customHeight="false" outlineLevel="0" collapsed="false">
      <c r="A10" s="5" t="s">
        <v>60</v>
      </c>
      <c r="B10" s="6" t="s">
        <v>61</v>
      </c>
      <c r="C10" s="7"/>
      <c r="D10" s="7"/>
      <c r="E10" s="7"/>
      <c r="F10" s="8"/>
      <c r="G10" s="8"/>
      <c r="H10" s="8"/>
      <c r="I10" s="7"/>
      <c r="J10" s="7"/>
      <c r="K10" s="7"/>
      <c r="L10" s="8"/>
      <c r="M10" s="8"/>
      <c r="N10" s="8"/>
      <c r="O10" s="7"/>
      <c r="P10" s="7"/>
      <c r="Q10" s="7"/>
      <c r="R10" s="8"/>
      <c r="S10" s="8"/>
      <c r="T10" s="8"/>
      <c r="U10" s="7"/>
      <c r="V10" s="7"/>
      <c r="W10" s="7"/>
    </row>
    <row r="11" customFormat="false" ht="15" hidden="false" customHeight="false" outlineLevel="0" collapsed="false">
      <c r="A11" s="9"/>
      <c r="B11" s="10"/>
      <c r="C11" s="9"/>
      <c r="D11" s="9"/>
      <c r="E11" s="9"/>
      <c r="F11" s="11"/>
      <c r="G11" s="11"/>
      <c r="H11" s="11"/>
      <c r="I11" s="9"/>
      <c r="J11" s="9"/>
      <c r="K11" s="9"/>
      <c r="L11" s="11"/>
      <c r="M11" s="11"/>
      <c r="N11" s="11"/>
      <c r="O11" s="9"/>
      <c r="P11" s="9"/>
      <c r="Q11" s="9"/>
      <c r="R11" s="11"/>
      <c r="S11" s="11"/>
      <c r="T11" s="11"/>
      <c r="U11" s="9"/>
      <c r="V11" s="9"/>
      <c r="W11" s="9"/>
    </row>
    <row r="12" customFormat="false" ht="15" hidden="false" customHeight="false" outlineLevel="0" collapsed="false">
      <c r="A12" s="9"/>
      <c r="B12" s="10"/>
      <c r="C12" s="9"/>
      <c r="D12" s="9"/>
      <c r="E12" s="9"/>
      <c r="F12" s="11"/>
      <c r="G12" s="11"/>
      <c r="H12" s="11"/>
      <c r="I12" s="9"/>
      <c r="J12" s="9"/>
      <c r="K12" s="9"/>
      <c r="L12" s="11"/>
      <c r="M12" s="11"/>
      <c r="N12" s="11"/>
      <c r="O12" s="9"/>
      <c r="P12" s="9"/>
      <c r="Q12" s="9"/>
      <c r="R12" s="11"/>
      <c r="S12" s="11"/>
      <c r="T12" s="11"/>
      <c r="U12" s="9"/>
      <c r="V12" s="9"/>
      <c r="W12" s="9"/>
    </row>
    <row r="13" customFormat="false" ht="15" hidden="false" customHeight="false" outlineLevel="0" collapsed="false">
      <c r="A13" s="9"/>
      <c r="B13" s="10"/>
      <c r="C13" s="9"/>
      <c r="D13" s="9"/>
      <c r="E13" s="9"/>
      <c r="F13" s="11"/>
      <c r="G13" s="11"/>
      <c r="H13" s="11"/>
      <c r="I13" s="9"/>
      <c r="J13" s="9"/>
      <c r="K13" s="9"/>
      <c r="L13" s="11"/>
      <c r="M13" s="11"/>
      <c r="N13" s="11"/>
      <c r="O13" s="9"/>
      <c r="P13" s="9"/>
      <c r="Q13" s="9"/>
      <c r="R13" s="11"/>
      <c r="S13" s="11"/>
      <c r="T13" s="11"/>
      <c r="U13" s="9"/>
      <c r="V13" s="9"/>
      <c r="W13" s="9"/>
    </row>
    <row r="14" customFormat="false" ht="15" hidden="false" customHeight="false" outlineLevel="0" collapsed="false">
      <c r="A14" s="9"/>
      <c r="B14" s="10"/>
      <c r="C14" s="9"/>
      <c r="D14" s="9"/>
      <c r="E14" s="9"/>
      <c r="F14" s="11"/>
      <c r="G14" s="11"/>
      <c r="H14" s="11"/>
      <c r="I14" s="9"/>
      <c r="J14" s="9"/>
      <c r="K14" s="9"/>
      <c r="L14" s="11"/>
      <c r="M14" s="11"/>
      <c r="N14" s="11"/>
      <c r="O14" s="9"/>
      <c r="P14" s="9"/>
      <c r="Q14" s="9"/>
      <c r="R14" s="11"/>
      <c r="S14" s="11"/>
      <c r="T14" s="11"/>
      <c r="U14" s="9"/>
      <c r="V14" s="9"/>
      <c r="W14" s="9"/>
    </row>
    <row r="15" customFormat="false" ht="15" hidden="false" customHeight="false" outlineLevel="0" collapsed="false">
      <c r="A15" s="9"/>
      <c r="B15" s="10"/>
      <c r="C15" s="9"/>
      <c r="D15" s="9"/>
      <c r="E15" s="9"/>
      <c r="F15" s="11"/>
      <c r="G15" s="11"/>
      <c r="H15" s="11"/>
      <c r="I15" s="9"/>
      <c r="J15" s="9"/>
      <c r="K15" s="9"/>
      <c r="L15" s="11"/>
      <c r="M15" s="11"/>
      <c r="N15" s="11"/>
      <c r="O15" s="9"/>
      <c r="P15" s="9"/>
      <c r="Q15" s="9"/>
      <c r="R15" s="11"/>
      <c r="S15" s="11"/>
      <c r="T15" s="11"/>
      <c r="U15" s="9"/>
      <c r="V15" s="9"/>
      <c r="W15" s="9"/>
    </row>
    <row r="16" customFormat="false" ht="15" hidden="false" customHeight="false" outlineLevel="0" collapsed="false">
      <c r="A16" s="9"/>
      <c r="B16" s="10"/>
      <c r="C16" s="9"/>
      <c r="D16" s="9"/>
      <c r="E16" s="9"/>
      <c r="F16" s="11"/>
      <c r="G16" s="11"/>
      <c r="H16" s="11"/>
      <c r="I16" s="9"/>
      <c r="J16" s="9"/>
      <c r="K16" s="9"/>
      <c r="L16" s="11"/>
      <c r="M16" s="11"/>
      <c r="N16" s="11"/>
      <c r="O16" s="9"/>
      <c r="P16" s="9"/>
      <c r="Q16" s="9"/>
      <c r="R16" s="11"/>
      <c r="S16" s="11"/>
      <c r="T16" s="11"/>
      <c r="U16" s="9"/>
      <c r="V16" s="9"/>
      <c r="W16" s="9"/>
    </row>
    <row r="17" customFormat="false" ht="15" hidden="false" customHeight="false" outlineLevel="0" collapsed="false">
      <c r="A17" s="9"/>
      <c r="B17" s="10"/>
      <c r="C17" s="9"/>
      <c r="D17" s="9"/>
      <c r="E17" s="9"/>
      <c r="F17" s="11"/>
      <c r="G17" s="11"/>
      <c r="H17" s="11"/>
      <c r="I17" s="9"/>
      <c r="J17" s="9"/>
      <c r="K17" s="9"/>
      <c r="L17" s="11"/>
      <c r="M17" s="11"/>
      <c r="N17" s="11"/>
      <c r="O17" s="9"/>
      <c r="P17" s="9"/>
      <c r="Q17" s="9"/>
      <c r="R17" s="11"/>
      <c r="S17" s="11"/>
      <c r="T17" s="11"/>
      <c r="U17" s="9"/>
      <c r="V17" s="9"/>
      <c r="W17" s="9"/>
    </row>
    <row r="18" customFormat="false" ht="15" hidden="false" customHeight="false" outlineLevel="0" collapsed="false">
      <c r="A18" s="9"/>
      <c r="B18" s="10"/>
      <c r="C18" s="9"/>
      <c r="D18" s="9"/>
      <c r="E18" s="9"/>
      <c r="F18" s="11"/>
      <c r="G18" s="11"/>
      <c r="H18" s="11"/>
      <c r="I18" s="9"/>
      <c r="J18" s="9"/>
      <c r="K18" s="9"/>
      <c r="L18" s="11"/>
      <c r="M18" s="11"/>
      <c r="N18" s="11"/>
      <c r="O18" s="9"/>
      <c r="P18" s="9"/>
      <c r="Q18" s="9"/>
      <c r="R18" s="11"/>
      <c r="S18" s="11"/>
      <c r="T18" s="11"/>
      <c r="U18" s="9"/>
      <c r="V18" s="9"/>
      <c r="W18" s="9"/>
    </row>
    <row r="19" customFormat="false" ht="15" hidden="false" customHeight="false" outlineLevel="0" collapsed="false">
      <c r="A19" s="9"/>
      <c r="B19" s="10"/>
      <c r="C19" s="9"/>
      <c r="D19" s="9"/>
      <c r="E19" s="9"/>
      <c r="F19" s="11"/>
      <c r="G19" s="11"/>
      <c r="H19" s="11"/>
      <c r="I19" s="9"/>
      <c r="J19" s="9"/>
      <c r="K19" s="9"/>
      <c r="L19" s="11"/>
      <c r="M19" s="11"/>
      <c r="N19" s="11"/>
      <c r="O19" s="9"/>
      <c r="P19" s="9"/>
      <c r="Q19" s="9"/>
      <c r="R19" s="11"/>
      <c r="S19" s="11"/>
      <c r="T19" s="11"/>
      <c r="U19" s="9"/>
      <c r="V19" s="9"/>
      <c r="W19" s="9"/>
    </row>
    <row r="20" customFormat="false" ht="15" hidden="false" customHeight="false" outlineLevel="0" collapsed="false">
      <c r="A20" s="9"/>
      <c r="B20" s="10"/>
      <c r="C20" s="9"/>
      <c r="D20" s="9"/>
      <c r="E20" s="9"/>
      <c r="F20" s="11"/>
      <c r="G20" s="11"/>
      <c r="H20" s="11"/>
      <c r="I20" s="9"/>
      <c r="J20" s="9"/>
      <c r="K20" s="9"/>
      <c r="L20" s="11"/>
      <c r="M20" s="11"/>
      <c r="N20" s="11"/>
      <c r="O20" s="9"/>
      <c r="P20" s="9"/>
      <c r="Q20" s="9"/>
      <c r="R20" s="11"/>
      <c r="S20" s="11"/>
      <c r="T20" s="11"/>
      <c r="U20" s="9"/>
      <c r="V20" s="9"/>
      <c r="W20" s="9"/>
    </row>
    <row r="21" customFormat="false" ht="15" hidden="false" customHeight="false" outlineLevel="0" collapsed="false">
      <c r="A21" s="9"/>
      <c r="B21" s="10"/>
      <c r="C21" s="9"/>
      <c r="D21" s="9"/>
      <c r="E21" s="9"/>
      <c r="F21" s="11"/>
      <c r="G21" s="11"/>
      <c r="H21" s="11"/>
      <c r="I21" s="9"/>
      <c r="J21" s="9"/>
      <c r="K21" s="9"/>
      <c r="L21" s="11"/>
      <c r="M21" s="11"/>
      <c r="N21" s="11"/>
      <c r="O21" s="9"/>
      <c r="P21" s="9"/>
      <c r="Q21" s="9"/>
      <c r="R21" s="11"/>
      <c r="S21" s="11"/>
      <c r="T21" s="11"/>
      <c r="U21" s="9"/>
      <c r="V21" s="9"/>
      <c r="W21" s="9"/>
    </row>
    <row r="22" customFormat="false" ht="15" hidden="false" customHeight="false" outlineLevel="0" collapsed="false">
      <c r="A22" s="9"/>
      <c r="B22" s="10"/>
      <c r="C22" s="9"/>
      <c r="D22" s="9"/>
      <c r="E22" s="9"/>
      <c r="F22" s="11"/>
      <c r="G22" s="11"/>
      <c r="H22" s="11"/>
      <c r="I22" s="9"/>
      <c r="J22" s="9"/>
      <c r="K22" s="9"/>
      <c r="L22" s="11"/>
      <c r="M22" s="11"/>
      <c r="N22" s="11"/>
      <c r="O22" s="9"/>
      <c r="P22" s="9"/>
      <c r="Q22" s="9"/>
      <c r="R22" s="11"/>
      <c r="S22" s="11"/>
      <c r="T22" s="11"/>
      <c r="U22" s="9"/>
      <c r="V22" s="9"/>
      <c r="W22" s="9"/>
    </row>
    <row r="23" customFormat="false" ht="15" hidden="false" customHeight="false" outlineLevel="0" collapsed="false">
      <c r="A23" s="9"/>
      <c r="B23" s="10"/>
      <c r="C23" s="9"/>
      <c r="D23" s="9"/>
      <c r="E23" s="9"/>
      <c r="F23" s="11"/>
      <c r="G23" s="11"/>
      <c r="H23" s="11"/>
      <c r="I23" s="9"/>
      <c r="J23" s="9"/>
      <c r="K23" s="9"/>
      <c r="L23" s="11"/>
      <c r="M23" s="11"/>
      <c r="N23" s="11"/>
      <c r="O23" s="9"/>
      <c r="P23" s="9"/>
      <c r="Q23" s="9"/>
      <c r="R23" s="11"/>
      <c r="S23" s="11"/>
      <c r="T23" s="11"/>
      <c r="U23" s="9"/>
      <c r="V23" s="9"/>
      <c r="W23" s="9"/>
    </row>
    <row r="24" customFormat="false" ht="15" hidden="false" customHeight="false" outlineLevel="0" collapsed="false">
      <c r="A24" s="9"/>
      <c r="B24" s="10"/>
      <c r="C24" s="9"/>
      <c r="D24" s="9"/>
      <c r="E24" s="9"/>
      <c r="F24" s="11"/>
      <c r="G24" s="11"/>
      <c r="H24" s="11"/>
      <c r="I24" s="9"/>
      <c r="J24" s="9"/>
      <c r="K24" s="9"/>
      <c r="L24" s="11"/>
      <c r="M24" s="11"/>
      <c r="N24" s="11"/>
      <c r="O24" s="9"/>
      <c r="P24" s="9"/>
      <c r="Q24" s="9"/>
      <c r="R24" s="11"/>
      <c r="S24" s="11"/>
      <c r="T24" s="11"/>
      <c r="U24" s="9"/>
      <c r="V24" s="9"/>
      <c r="W24" s="9"/>
    </row>
    <row r="25" customFormat="false" ht="15" hidden="false" customHeight="false" outlineLevel="0" collapsed="false">
      <c r="A25" s="9"/>
      <c r="B25" s="10"/>
      <c r="C25" s="9"/>
      <c r="D25" s="9"/>
      <c r="E25" s="9"/>
      <c r="F25" s="11"/>
      <c r="G25" s="11"/>
      <c r="H25" s="11"/>
      <c r="I25" s="9"/>
      <c r="J25" s="9"/>
      <c r="K25" s="9"/>
      <c r="L25" s="11"/>
      <c r="M25" s="11"/>
      <c r="N25" s="11"/>
      <c r="O25" s="9"/>
      <c r="P25" s="9"/>
      <c r="Q25" s="9"/>
      <c r="R25" s="11"/>
      <c r="S25" s="11"/>
      <c r="T25" s="11"/>
      <c r="U25" s="9"/>
      <c r="V25" s="9"/>
      <c r="W25" s="9"/>
    </row>
    <row r="26" customFormat="false" ht="15" hidden="false" customHeight="false" outlineLevel="0" collapsed="false">
      <c r="A26" s="9"/>
      <c r="B26" s="10"/>
      <c r="C26" s="9"/>
      <c r="D26" s="9"/>
      <c r="E26" s="9"/>
      <c r="F26" s="11"/>
      <c r="G26" s="11"/>
      <c r="H26" s="11"/>
      <c r="I26" s="9"/>
      <c r="J26" s="9"/>
      <c r="K26" s="9"/>
      <c r="L26" s="11"/>
      <c r="M26" s="11"/>
      <c r="N26" s="11"/>
      <c r="O26" s="9"/>
      <c r="P26" s="9"/>
      <c r="Q26" s="9"/>
      <c r="R26" s="11"/>
      <c r="S26" s="11"/>
      <c r="T26" s="11"/>
      <c r="U26" s="9"/>
      <c r="V26" s="9"/>
      <c r="W26" s="9"/>
    </row>
    <row r="27" customFormat="false" ht="15" hidden="false" customHeight="false" outlineLevel="0" collapsed="false">
      <c r="A27" s="9"/>
      <c r="B27" s="10"/>
      <c r="C27" s="9"/>
      <c r="D27" s="9"/>
      <c r="E27" s="9"/>
      <c r="F27" s="11"/>
      <c r="G27" s="11"/>
      <c r="H27" s="11"/>
      <c r="I27" s="9"/>
      <c r="J27" s="9"/>
      <c r="K27" s="9"/>
      <c r="L27" s="11"/>
      <c r="M27" s="11"/>
      <c r="N27" s="11"/>
      <c r="O27" s="9"/>
      <c r="P27" s="9"/>
      <c r="Q27" s="9"/>
      <c r="R27" s="11"/>
      <c r="S27" s="11"/>
      <c r="T27" s="11"/>
      <c r="U27" s="9"/>
      <c r="V27" s="9"/>
      <c r="W27" s="9"/>
    </row>
    <row r="28" customFormat="false" ht="15" hidden="false" customHeight="false" outlineLevel="0" collapsed="false">
      <c r="A28" s="9"/>
      <c r="B28" s="10"/>
      <c r="C28" s="9"/>
      <c r="D28" s="9"/>
      <c r="E28" s="9"/>
      <c r="F28" s="11"/>
      <c r="G28" s="11"/>
      <c r="H28" s="11"/>
      <c r="I28" s="9"/>
      <c r="J28" s="9"/>
      <c r="K28" s="9"/>
      <c r="L28" s="11"/>
      <c r="M28" s="11"/>
      <c r="N28" s="11"/>
      <c r="O28" s="9"/>
      <c r="P28" s="9"/>
      <c r="Q28" s="9"/>
      <c r="R28" s="11"/>
      <c r="S28" s="11"/>
      <c r="T28" s="11"/>
      <c r="U28" s="9"/>
      <c r="V28" s="9"/>
      <c r="W28" s="9"/>
    </row>
    <row r="29" customFormat="false" ht="15" hidden="false" customHeight="false" outlineLevel="0" collapsed="false">
      <c r="A29" s="9"/>
      <c r="B29" s="10"/>
      <c r="C29" s="9"/>
      <c r="D29" s="9"/>
      <c r="E29" s="9"/>
      <c r="F29" s="11"/>
      <c r="G29" s="11"/>
      <c r="H29" s="11"/>
      <c r="I29" s="9"/>
      <c r="J29" s="9"/>
      <c r="K29" s="9"/>
      <c r="L29" s="11"/>
      <c r="M29" s="11"/>
      <c r="N29" s="11"/>
      <c r="O29" s="9"/>
      <c r="P29" s="9"/>
      <c r="Q29" s="9"/>
      <c r="R29" s="11"/>
      <c r="S29" s="11"/>
      <c r="T29" s="11"/>
      <c r="U29" s="9"/>
      <c r="V29" s="9"/>
      <c r="W29" s="9"/>
    </row>
    <row r="30" customFormat="false" ht="15" hidden="false" customHeight="false" outlineLevel="0" collapsed="false">
      <c r="A30" s="9"/>
      <c r="B30" s="10"/>
      <c r="C30" s="9"/>
      <c r="D30" s="9"/>
      <c r="E30" s="9"/>
      <c r="F30" s="11"/>
      <c r="G30" s="11"/>
      <c r="H30" s="11"/>
      <c r="I30" s="9"/>
      <c r="J30" s="9"/>
      <c r="K30" s="9"/>
      <c r="L30" s="11"/>
      <c r="M30" s="11"/>
      <c r="N30" s="11"/>
      <c r="O30" s="9"/>
      <c r="P30" s="9"/>
      <c r="Q30" s="9"/>
      <c r="R30" s="11"/>
      <c r="S30" s="11"/>
      <c r="T30" s="11"/>
      <c r="U30" s="9"/>
      <c r="V30" s="9"/>
      <c r="W30" s="9"/>
    </row>
    <row r="31" customFormat="false" ht="15" hidden="false" customHeight="false" outlineLevel="0" collapsed="false">
      <c r="A31" s="9"/>
      <c r="B31" s="10"/>
      <c r="C31" s="9"/>
      <c r="D31" s="9"/>
      <c r="E31" s="9"/>
      <c r="F31" s="11"/>
      <c r="G31" s="11"/>
      <c r="H31" s="11"/>
      <c r="I31" s="9"/>
      <c r="J31" s="9"/>
      <c r="K31" s="9"/>
      <c r="L31" s="11"/>
      <c r="M31" s="11"/>
      <c r="N31" s="11"/>
      <c r="O31" s="9"/>
      <c r="P31" s="9"/>
      <c r="Q31" s="9"/>
      <c r="R31" s="11"/>
      <c r="S31" s="11"/>
      <c r="T31" s="11"/>
      <c r="U31" s="9"/>
      <c r="V31" s="9"/>
      <c r="W31" s="9"/>
    </row>
    <row r="32" customFormat="false" ht="15" hidden="false" customHeight="false" outlineLevel="0" collapsed="false">
      <c r="A32" s="9"/>
      <c r="B32" s="10"/>
      <c r="C32" s="9"/>
      <c r="D32" s="9"/>
      <c r="E32" s="9"/>
      <c r="F32" s="11"/>
      <c r="G32" s="11"/>
      <c r="H32" s="11"/>
      <c r="I32" s="9"/>
      <c r="J32" s="9"/>
      <c r="K32" s="9"/>
      <c r="L32" s="11"/>
      <c r="M32" s="11"/>
      <c r="N32" s="11"/>
      <c r="O32" s="9"/>
      <c r="P32" s="9"/>
      <c r="Q32" s="9"/>
      <c r="R32" s="11"/>
      <c r="S32" s="11"/>
      <c r="T32" s="11"/>
      <c r="U32" s="9"/>
      <c r="V32" s="9"/>
      <c r="W32" s="9"/>
    </row>
    <row r="33" customFormat="false" ht="15" hidden="false" customHeight="false" outlineLevel="0" collapsed="false">
      <c r="A33" s="9"/>
      <c r="B33" s="10"/>
      <c r="C33" s="9"/>
      <c r="D33" s="9"/>
      <c r="E33" s="9"/>
      <c r="F33" s="11"/>
      <c r="G33" s="11"/>
      <c r="H33" s="11"/>
      <c r="I33" s="9"/>
      <c r="J33" s="9"/>
      <c r="K33" s="9"/>
      <c r="L33" s="11"/>
      <c r="M33" s="11"/>
      <c r="N33" s="11"/>
      <c r="O33" s="9"/>
      <c r="P33" s="9"/>
      <c r="Q33" s="9"/>
      <c r="R33" s="11"/>
      <c r="S33" s="11"/>
      <c r="T33" s="11"/>
      <c r="U33" s="9"/>
      <c r="V33" s="9"/>
      <c r="W33" s="9"/>
    </row>
    <row r="34" customFormat="false" ht="15" hidden="false" customHeight="false" outlineLevel="0" collapsed="false">
      <c r="A34" s="9"/>
      <c r="B34" s="10"/>
      <c r="C34" s="9"/>
      <c r="D34" s="9"/>
      <c r="E34" s="9"/>
      <c r="F34" s="11"/>
      <c r="G34" s="11"/>
      <c r="H34" s="11"/>
      <c r="I34" s="9"/>
      <c r="J34" s="9"/>
      <c r="K34" s="9"/>
      <c r="L34" s="11"/>
      <c r="M34" s="11"/>
      <c r="N34" s="11"/>
      <c r="O34" s="9"/>
      <c r="P34" s="9"/>
      <c r="Q34" s="9"/>
      <c r="R34" s="11"/>
      <c r="S34" s="11"/>
      <c r="T34" s="11"/>
      <c r="U34" s="9"/>
      <c r="V34" s="9"/>
      <c r="W34" s="9"/>
    </row>
    <row r="35" customFormat="false" ht="15" hidden="false" customHeight="false" outlineLevel="0" collapsed="false">
      <c r="A35" s="9"/>
      <c r="B35" s="10"/>
      <c r="C35" s="9"/>
      <c r="D35" s="9"/>
      <c r="E35" s="9"/>
      <c r="F35" s="11"/>
      <c r="G35" s="11"/>
      <c r="H35" s="11"/>
      <c r="I35" s="9"/>
      <c r="J35" s="9"/>
      <c r="K35" s="9"/>
      <c r="L35" s="11"/>
      <c r="M35" s="11"/>
      <c r="N35" s="11"/>
      <c r="O35" s="9"/>
      <c r="P35" s="9"/>
      <c r="Q35" s="9"/>
      <c r="R35" s="11"/>
      <c r="S35" s="11"/>
      <c r="T35" s="11"/>
      <c r="U35" s="9"/>
      <c r="V35" s="9"/>
      <c r="W35" s="9"/>
    </row>
    <row r="36" customFormat="false" ht="15" hidden="false" customHeight="false" outlineLevel="0" collapsed="false">
      <c r="A36" s="9"/>
      <c r="B36" s="10"/>
      <c r="C36" s="9"/>
      <c r="D36" s="9"/>
      <c r="E36" s="9"/>
      <c r="F36" s="11"/>
      <c r="G36" s="11"/>
      <c r="H36" s="11"/>
      <c r="I36" s="9"/>
      <c r="J36" s="9"/>
      <c r="K36" s="9"/>
      <c r="L36" s="11"/>
      <c r="M36" s="11"/>
      <c r="N36" s="11"/>
      <c r="O36" s="9"/>
      <c r="P36" s="9"/>
      <c r="Q36" s="9"/>
      <c r="R36" s="11"/>
      <c r="S36" s="11"/>
      <c r="T36" s="11"/>
      <c r="U36" s="9"/>
      <c r="V36" s="9"/>
      <c r="W36" s="9"/>
    </row>
    <row r="37" customFormat="false" ht="15" hidden="false" customHeight="false" outlineLevel="0" collapsed="false">
      <c r="A37" s="9"/>
      <c r="B37" s="10"/>
      <c r="C37" s="9"/>
      <c r="D37" s="9"/>
      <c r="E37" s="9"/>
      <c r="F37" s="11"/>
      <c r="G37" s="11"/>
      <c r="H37" s="11"/>
      <c r="I37" s="9"/>
      <c r="J37" s="9"/>
      <c r="K37" s="9"/>
      <c r="L37" s="11"/>
      <c r="M37" s="11"/>
      <c r="N37" s="11"/>
      <c r="O37" s="9"/>
      <c r="P37" s="9"/>
      <c r="Q37" s="9"/>
      <c r="R37" s="11"/>
      <c r="S37" s="11"/>
      <c r="T37" s="11"/>
      <c r="U37" s="9"/>
      <c r="V37" s="9"/>
      <c r="W37" s="9"/>
    </row>
    <row r="38" customFormat="false" ht="15" hidden="false" customHeight="false" outlineLevel="0" collapsed="false">
      <c r="A38" s="9"/>
      <c r="B38" s="10"/>
      <c r="C38" s="9"/>
      <c r="D38" s="9"/>
      <c r="E38" s="9"/>
      <c r="F38" s="11"/>
      <c r="G38" s="11"/>
      <c r="H38" s="11"/>
      <c r="I38" s="9"/>
      <c r="J38" s="9"/>
      <c r="K38" s="9"/>
      <c r="L38" s="11"/>
      <c r="M38" s="11"/>
      <c r="N38" s="11"/>
      <c r="O38" s="9"/>
      <c r="P38" s="9"/>
      <c r="Q38" s="9"/>
      <c r="R38" s="11"/>
      <c r="S38" s="11"/>
      <c r="T38" s="11"/>
      <c r="U38" s="9"/>
      <c r="V38" s="9"/>
      <c r="W38" s="9"/>
    </row>
    <row r="39" customFormat="false" ht="15" hidden="false" customHeight="false" outlineLevel="0" collapsed="false">
      <c r="A39" s="9"/>
      <c r="B39" s="10"/>
      <c r="C39" s="9"/>
      <c r="D39" s="9"/>
      <c r="E39" s="9"/>
      <c r="F39" s="11"/>
      <c r="G39" s="11"/>
      <c r="H39" s="11"/>
      <c r="I39" s="9"/>
      <c r="J39" s="9"/>
      <c r="K39" s="9"/>
      <c r="L39" s="11"/>
      <c r="M39" s="11"/>
      <c r="N39" s="11"/>
      <c r="O39" s="9"/>
      <c r="P39" s="9"/>
      <c r="Q39" s="9"/>
      <c r="R39" s="11"/>
      <c r="S39" s="11"/>
      <c r="T39" s="11"/>
      <c r="U39" s="9"/>
      <c r="V39" s="9"/>
      <c r="W39" s="9"/>
    </row>
    <row r="40" customFormat="false" ht="15" hidden="false" customHeight="false" outlineLevel="0" collapsed="false">
      <c r="A40" s="9"/>
      <c r="B40" s="10"/>
      <c r="C40" s="9"/>
      <c r="D40" s="9"/>
      <c r="E40" s="9"/>
      <c r="F40" s="11"/>
      <c r="G40" s="11"/>
      <c r="H40" s="11"/>
      <c r="I40" s="9"/>
      <c r="J40" s="9"/>
      <c r="K40" s="9"/>
      <c r="L40" s="11"/>
      <c r="M40" s="11"/>
      <c r="N40" s="11"/>
      <c r="O40" s="9"/>
      <c r="P40" s="9"/>
      <c r="Q40" s="9"/>
      <c r="R40" s="11"/>
      <c r="S40" s="11"/>
      <c r="T40" s="11"/>
      <c r="U40" s="9"/>
      <c r="V40" s="9"/>
      <c r="W40" s="9"/>
    </row>
    <row r="41" customFormat="false" ht="15" hidden="false" customHeight="false" outlineLevel="0" collapsed="false">
      <c r="A41" s="9"/>
      <c r="B41" s="10"/>
      <c r="C41" s="9"/>
      <c r="D41" s="9"/>
      <c r="E41" s="9"/>
      <c r="F41" s="11"/>
      <c r="G41" s="11"/>
      <c r="H41" s="11"/>
      <c r="I41" s="9"/>
      <c r="J41" s="9"/>
      <c r="K41" s="9"/>
      <c r="L41" s="11"/>
      <c r="M41" s="11"/>
      <c r="N41" s="11"/>
      <c r="O41" s="9"/>
      <c r="P41" s="9"/>
      <c r="Q41" s="9"/>
      <c r="R41" s="11"/>
      <c r="S41" s="11"/>
      <c r="T41" s="11"/>
      <c r="U41" s="9"/>
      <c r="V41" s="9"/>
      <c r="W41" s="9"/>
    </row>
    <row r="42" customFormat="false" ht="15" hidden="false" customHeight="false" outlineLevel="0" collapsed="false">
      <c r="A42" s="9"/>
      <c r="B42" s="10"/>
      <c r="C42" s="9"/>
      <c r="D42" s="9"/>
      <c r="E42" s="9"/>
      <c r="F42" s="11"/>
      <c r="G42" s="11"/>
      <c r="H42" s="11"/>
      <c r="I42" s="9"/>
      <c r="J42" s="9"/>
      <c r="K42" s="9"/>
      <c r="L42" s="11"/>
      <c r="M42" s="11"/>
      <c r="N42" s="11"/>
      <c r="O42" s="9"/>
      <c r="P42" s="9"/>
      <c r="Q42" s="9"/>
      <c r="R42" s="11"/>
      <c r="S42" s="11"/>
      <c r="T42" s="11"/>
      <c r="U42" s="9"/>
      <c r="V42" s="9"/>
      <c r="W42" s="9"/>
    </row>
    <row r="43" customFormat="false" ht="15" hidden="false" customHeight="false" outlineLevel="0" collapsed="false">
      <c r="A43" s="9"/>
      <c r="B43" s="10"/>
      <c r="C43" s="9"/>
      <c r="D43" s="9"/>
      <c r="E43" s="9"/>
      <c r="F43" s="11"/>
      <c r="G43" s="11"/>
      <c r="H43" s="11"/>
      <c r="I43" s="9"/>
      <c r="J43" s="9"/>
      <c r="K43" s="9"/>
      <c r="L43" s="11"/>
      <c r="M43" s="11"/>
      <c r="N43" s="11"/>
      <c r="O43" s="9"/>
      <c r="P43" s="9"/>
      <c r="Q43" s="9"/>
      <c r="R43" s="11"/>
      <c r="S43" s="11"/>
      <c r="T43" s="11"/>
      <c r="U43" s="9"/>
      <c r="V43" s="9"/>
      <c r="W43" s="9"/>
    </row>
    <row r="44" customFormat="false" ht="15" hidden="false" customHeight="false" outlineLevel="0" collapsed="false">
      <c r="A44" s="9"/>
      <c r="B44" s="10"/>
      <c r="C44" s="9"/>
      <c r="D44" s="9"/>
      <c r="E44" s="9"/>
      <c r="F44" s="11"/>
      <c r="G44" s="11"/>
      <c r="H44" s="11"/>
      <c r="I44" s="9"/>
      <c r="J44" s="9"/>
      <c r="K44" s="9"/>
      <c r="L44" s="11"/>
      <c r="M44" s="11"/>
      <c r="N44" s="11"/>
      <c r="O44" s="9"/>
      <c r="P44" s="9"/>
      <c r="Q44" s="9"/>
      <c r="R44" s="11"/>
      <c r="S44" s="11"/>
      <c r="T44" s="11"/>
      <c r="U44" s="9"/>
      <c r="V44" s="9"/>
      <c r="W44" s="9"/>
    </row>
    <row r="45" customFormat="false" ht="15" hidden="false" customHeight="false" outlineLevel="0" collapsed="false">
      <c r="A45" s="9"/>
      <c r="B45" s="10"/>
      <c r="C45" s="9"/>
      <c r="D45" s="9"/>
      <c r="E45" s="9"/>
      <c r="F45" s="11"/>
      <c r="G45" s="11"/>
      <c r="H45" s="11"/>
      <c r="I45" s="9"/>
      <c r="J45" s="9"/>
      <c r="K45" s="9"/>
      <c r="L45" s="11"/>
      <c r="M45" s="11"/>
      <c r="N45" s="11"/>
      <c r="O45" s="9"/>
      <c r="P45" s="9"/>
      <c r="Q45" s="9"/>
      <c r="R45" s="11"/>
      <c r="S45" s="11"/>
      <c r="T45" s="11"/>
      <c r="U45" s="9"/>
      <c r="V45" s="9"/>
      <c r="W45" s="9"/>
    </row>
    <row r="46" customFormat="false" ht="15" hidden="false" customHeight="false" outlineLevel="0" collapsed="false">
      <c r="A46" s="9"/>
      <c r="B46" s="10"/>
      <c r="C46" s="9"/>
      <c r="D46" s="9"/>
      <c r="E46" s="9"/>
      <c r="F46" s="11"/>
      <c r="G46" s="11"/>
      <c r="H46" s="11"/>
      <c r="I46" s="9"/>
      <c r="J46" s="9"/>
      <c r="K46" s="9"/>
      <c r="L46" s="11"/>
      <c r="M46" s="11"/>
      <c r="N46" s="11"/>
      <c r="O46" s="9"/>
      <c r="P46" s="9"/>
      <c r="Q46" s="9"/>
      <c r="R46" s="11"/>
      <c r="S46" s="11"/>
      <c r="T46" s="11"/>
      <c r="U46" s="9"/>
      <c r="V46" s="9"/>
      <c r="W46" s="9"/>
    </row>
    <row r="47" customFormat="false" ht="15" hidden="false" customHeight="false" outlineLevel="0" collapsed="false">
      <c r="A47" s="9"/>
      <c r="B47" s="10"/>
      <c r="C47" s="9"/>
      <c r="D47" s="9"/>
      <c r="E47" s="9"/>
      <c r="F47" s="11"/>
      <c r="G47" s="11"/>
      <c r="H47" s="11"/>
      <c r="I47" s="9"/>
      <c r="J47" s="9"/>
      <c r="K47" s="9"/>
      <c r="L47" s="11"/>
      <c r="M47" s="11"/>
      <c r="N47" s="11"/>
      <c r="O47" s="9"/>
      <c r="P47" s="9"/>
      <c r="Q47" s="9"/>
      <c r="R47" s="11"/>
      <c r="S47" s="11"/>
      <c r="T47" s="11"/>
      <c r="U47" s="9"/>
      <c r="V47" s="9"/>
      <c r="W47" s="9"/>
    </row>
    <row r="48" customFormat="false" ht="15" hidden="false" customHeight="false" outlineLevel="0" collapsed="false">
      <c r="A48" s="9"/>
      <c r="B48" s="10"/>
      <c r="C48" s="9"/>
      <c r="D48" s="9"/>
      <c r="E48" s="9"/>
      <c r="F48" s="11"/>
      <c r="G48" s="11"/>
      <c r="H48" s="11"/>
      <c r="I48" s="9"/>
      <c r="J48" s="9"/>
      <c r="K48" s="9"/>
      <c r="L48" s="11"/>
      <c r="M48" s="11"/>
      <c r="N48" s="11"/>
      <c r="O48" s="9"/>
      <c r="P48" s="9"/>
      <c r="Q48" s="9"/>
      <c r="R48" s="11"/>
      <c r="S48" s="11"/>
      <c r="T48" s="11"/>
      <c r="U48" s="9"/>
      <c r="V48" s="9"/>
      <c r="W48" s="9"/>
    </row>
    <row r="49" customFormat="false" ht="15" hidden="false" customHeight="false" outlineLevel="0" collapsed="false">
      <c r="A49" s="9"/>
      <c r="B49" s="10"/>
      <c r="C49" s="9"/>
      <c r="D49" s="9"/>
      <c r="E49" s="9"/>
      <c r="F49" s="11"/>
      <c r="G49" s="11"/>
      <c r="H49" s="11"/>
      <c r="I49" s="9"/>
      <c r="J49" s="9"/>
      <c r="K49" s="9"/>
      <c r="L49" s="11"/>
      <c r="M49" s="11"/>
      <c r="N49" s="11"/>
      <c r="O49" s="9"/>
      <c r="P49" s="9"/>
      <c r="Q49" s="9"/>
      <c r="R49" s="11"/>
      <c r="S49" s="11"/>
      <c r="T49" s="11"/>
      <c r="U49" s="9"/>
      <c r="V49" s="9"/>
      <c r="W49" s="9"/>
    </row>
    <row r="50" customFormat="false" ht="15" hidden="false" customHeight="false" outlineLevel="0" collapsed="false">
      <c r="A50" s="9"/>
      <c r="B50" s="10"/>
      <c r="C50" s="9"/>
      <c r="D50" s="9"/>
      <c r="E50" s="9"/>
      <c r="F50" s="11"/>
      <c r="G50" s="11"/>
      <c r="H50" s="11"/>
      <c r="I50" s="9"/>
      <c r="J50" s="9"/>
      <c r="K50" s="9"/>
      <c r="L50" s="11"/>
      <c r="M50" s="11"/>
      <c r="N50" s="11"/>
      <c r="O50" s="9"/>
      <c r="P50" s="9"/>
      <c r="Q50" s="9"/>
      <c r="R50" s="11"/>
      <c r="S50" s="11"/>
      <c r="T50" s="11"/>
      <c r="U50" s="9"/>
      <c r="V50" s="9"/>
      <c r="W50" s="9"/>
    </row>
    <row r="51" customFormat="false" ht="15" hidden="false" customHeight="false" outlineLevel="0" collapsed="false">
      <c r="A51" s="9"/>
      <c r="B51" s="10"/>
      <c r="C51" s="9"/>
      <c r="D51" s="9"/>
      <c r="E51" s="9"/>
      <c r="F51" s="11"/>
      <c r="G51" s="11"/>
      <c r="H51" s="11"/>
      <c r="I51" s="9"/>
      <c r="J51" s="9"/>
      <c r="K51" s="9"/>
      <c r="L51" s="11"/>
      <c r="M51" s="11"/>
      <c r="N51" s="11"/>
      <c r="O51" s="9"/>
      <c r="P51" s="9"/>
      <c r="Q51" s="9"/>
      <c r="R51" s="11"/>
      <c r="S51" s="11"/>
      <c r="T51" s="11"/>
      <c r="U51" s="9"/>
      <c r="V51" s="9"/>
      <c r="W51" s="9"/>
    </row>
    <row r="52" customFormat="false" ht="15" hidden="false" customHeight="false" outlineLevel="0" collapsed="false">
      <c r="A52" s="9"/>
      <c r="B52" s="10"/>
      <c r="C52" s="9"/>
      <c r="D52" s="9"/>
      <c r="E52" s="9"/>
      <c r="F52" s="11"/>
      <c r="G52" s="11"/>
      <c r="H52" s="11"/>
      <c r="I52" s="9"/>
      <c r="J52" s="9"/>
      <c r="K52" s="9"/>
      <c r="L52" s="11"/>
      <c r="M52" s="11"/>
      <c r="N52" s="11"/>
      <c r="O52" s="9"/>
      <c r="P52" s="9"/>
      <c r="Q52" s="9"/>
      <c r="R52" s="11"/>
      <c r="S52" s="11"/>
      <c r="T52" s="11"/>
      <c r="U52" s="9"/>
      <c r="V52" s="9"/>
      <c r="W52" s="9"/>
    </row>
    <row r="53" customFormat="false" ht="15" hidden="false" customHeight="false" outlineLevel="0" collapsed="false">
      <c r="A53" s="9"/>
      <c r="B53" s="10"/>
      <c r="C53" s="9"/>
      <c r="D53" s="9"/>
      <c r="E53" s="9"/>
      <c r="F53" s="11"/>
      <c r="G53" s="11"/>
      <c r="H53" s="11"/>
      <c r="I53" s="9"/>
      <c r="J53" s="9"/>
      <c r="K53" s="9"/>
      <c r="L53" s="11"/>
      <c r="M53" s="11"/>
      <c r="N53" s="11"/>
      <c r="O53" s="9"/>
      <c r="P53" s="9"/>
      <c r="Q53" s="9"/>
      <c r="R53" s="11"/>
      <c r="S53" s="11"/>
      <c r="T53" s="11"/>
      <c r="U53" s="9"/>
      <c r="V53" s="9"/>
      <c r="W53" s="9"/>
    </row>
    <row r="54" customFormat="false" ht="15" hidden="false" customHeight="false" outlineLevel="0" collapsed="false">
      <c r="A54" s="9"/>
      <c r="B54" s="10"/>
      <c r="C54" s="9"/>
      <c r="D54" s="9"/>
      <c r="E54" s="9"/>
      <c r="F54" s="11"/>
      <c r="G54" s="11"/>
      <c r="H54" s="11"/>
      <c r="I54" s="9"/>
      <c r="J54" s="9"/>
      <c r="K54" s="9"/>
      <c r="L54" s="11"/>
      <c r="M54" s="11"/>
      <c r="N54" s="11"/>
      <c r="O54" s="9"/>
      <c r="P54" s="9"/>
      <c r="Q54" s="9"/>
      <c r="R54" s="11"/>
      <c r="S54" s="11"/>
      <c r="T54" s="11"/>
      <c r="U54" s="9"/>
      <c r="V54" s="9"/>
      <c r="W54" s="9"/>
    </row>
    <row r="55" customFormat="false" ht="15" hidden="false" customHeight="false" outlineLevel="0" collapsed="false">
      <c r="A55" s="9"/>
      <c r="B55" s="10"/>
      <c r="C55" s="9"/>
      <c r="D55" s="9"/>
      <c r="E55" s="9"/>
      <c r="F55" s="11"/>
      <c r="G55" s="11"/>
      <c r="H55" s="11"/>
      <c r="I55" s="9"/>
      <c r="J55" s="9"/>
      <c r="K55" s="9"/>
      <c r="L55" s="11"/>
      <c r="M55" s="11"/>
      <c r="N55" s="11"/>
      <c r="O55" s="9"/>
      <c r="P55" s="9"/>
      <c r="Q55" s="9"/>
      <c r="R55" s="11"/>
      <c r="S55" s="11"/>
      <c r="T55" s="11"/>
      <c r="U55" s="9"/>
      <c r="V55" s="9"/>
      <c r="W55" s="9"/>
    </row>
    <row r="56" customFormat="false" ht="15" hidden="false" customHeight="false" outlineLevel="0" collapsed="false">
      <c r="A56" s="9"/>
      <c r="B56" s="10"/>
      <c r="C56" s="9"/>
      <c r="D56" s="9"/>
      <c r="E56" s="9"/>
      <c r="F56" s="11"/>
      <c r="G56" s="11"/>
      <c r="H56" s="11"/>
      <c r="I56" s="9"/>
      <c r="J56" s="9"/>
      <c r="K56" s="9"/>
      <c r="L56" s="11"/>
      <c r="M56" s="11"/>
      <c r="N56" s="11"/>
      <c r="O56" s="9"/>
      <c r="P56" s="9"/>
      <c r="Q56" s="9"/>
      <c r="R56" s="11"/>
      <c r="S56" s="11"/>
      <c r="T56" s="11"/>
      <c r="U56" s="9"/>
      <c r="V56" s="9"/>
      <c r="W56" s="9"/>
    </row>
    <row r="57" customFormat="false" ht="15" hidden="false" customHeight="false" outlineLevel="0" collapsed="false">
      <c r="A57" s="9"/>
      <c r="B57" s="10"/>
      <c r="C57" s="9"/>
      <c r="D57" s="9"/>
      <c r="E57" s="9"/>
      <c r="F57" s="11"/>
      <c r="G57" s="11"/>
      <c r="H57" s="11"/>
      <c r="I57" s="9"/>
      <c r="J57" s="9"/>
      <c r="K57" s="9"/>
      <c r="L57" s="11"/>
      <c r="M57" s="11"/>
      <c r="N57" s="11"/>
      <c r="O57" s="9"/>
      <c r="P57" s="9"/>
      <c r="Q57" s="9"/>
      <c r="R57" s="11"/>
      <c r="S57" s="11"/>
      <c r="T57" s="11"/>
      <c r="U57" s="9"/>
      <c r="V57" s="9"/>
      <c r="W57" s="9"/>
    </row>
    <row r="58" customFormat="false" ht="15" hidden="false" customHeight="false" outlineLevel="0" collapsed="false">
      <c r="A58" s="9"/>
      <c r="B58" s="10"/>
      <c r="C58" s="9"/>
      <c r="D58" s="9"/>
      <c r="E58" s="9"/>
      <c r="F58" s="11"/>
      <c r="G58" s="11"/>
      <c r="H58" s="11"/>
      <c r="I58" s="9"/>
      <c r="J58" s="9"/>
      <c r="K58" s="9"/>
      <c r="L58" s="11"/>
      <c r="M58" s="11"/>
      <c r="N58" s="11"/>
      <c r="O58" s="9"/>
      <c r="P58" s="9"/>
      <c r="Q58" s="9"/>
      <c r="R58" s="11"/>
      <c r="S58" s="11"/>
      <c r="T58" s="11"/>
      <c r="U58" s="9"/>
      <c r="V58" s="9"/>
      <c r="W58" s="9"/>
    </row>
    <row r="59" customFormat="false" ht="15" hidden="false" customHeight="false" outlineLevel="0" collapsed="false">
      <c r="A59" s="9"/>
      <c r="B59" s="10"/>
      <c r="C59" s="9"/>
      <c r="D59" s="9"/>
      <c r="E59" s="9"/>
      <c r="F59" s="11"/>
      <c r="G59" s="11"/>
      <c r="H59" s="11"/>
      <c r="I59" s="9"/>
      <c r="J59" s="9"/>
      <c r="K59" s="9"/>
      <c r="L59" s="11"/>
      <c r="M59" s="11"/>
      <c r="N59" s="11"/>
      <c r="O59" s="9"/>
      <c r="P59" s="9"/>
      <c r="Q59" s="9"/>
      <c r="R59" s="11"/>
      <c r="S59" s="11"/>
      <c r="T59" s="11"/>
      <c r="U59" s="9"/>
      <c r="V59" s="9"/>
      <c r="W59" s="9"/>
    </row>
    <row r="60" customFormat="false" ht="15" hidden="false" customHeight="false" outlineLevel="0" collapsed="false">
      <c r="A60" s="9"/>
      <c r="B60" s="10"/>
      <c r="C60" s="9"/>
      <c r="D60" s="9"/>
      <c r="E60" s="9"/>
      <c r="F60" s="11"/>
      <c r="G60" s="11"/>
      <c r="H60" s="11"/>
      <c r="I60" s="9"/>
      <c r="J60" s="9"/>
      <c r="K60" s="9"/>
      <c r="L60" s="11"/>
      <c r="M60" s="11"/>
      <c r="N60" s="11"/>
      <c r="O60" s="9"/>
      <c r="P60" s="9"/>
      <c r="Q60" s="9"/>
      <c r="R60" s="11"/>
      <c r="S60" s="11"/>
      <c r="T60" s="11"/>
      <c r="U60" s="9"/>
      <c r="V60" s="9"/>
      <c r="W60" s="9"/>
    </row>
    <row r="61" customFormat="false" ht="15" hidden="false" customHeight="false" outlineLevel="0" collapsed="false">
      <c r="A61" s="9"/>
      <c r="B61" s="10"/>
      <c r="C61" s="9"/>
      <c r="D61" s="9"/>
      <c r="E61" s="9"/>
      <c r="F61" s="11"/>
      <c r="G61" s="11"/>
      <c r="H61" s="11"/>
      <c r="I61" s="9"/>
      <c r="J61" s="9"/>
      <c r="K61" s="9"/>
      <c r="L61" s="11"/>
      <c r="M61" s="11"/>
      <c r="N61" s="11"/>
      <c r="O61" s="9"/>
      <c r="P61" s="9"/>
      <c r="Q61" s="9"/>
      <c r="R61" s="11"/>
      <c r="S61" s="11"/>
      <c r="T61" s="11"/>
      <c r="U61" s="9"/>
      <c r="V61" s="9"/>
      <c r="W61" s="9"/>
    </row>
    <row r="62" customFormat="false" ht="15" hidden="false" customHeight="false" outlineLevel="0" collapsed="false">
      <c r="A62" s="9"/>
      <c r="B62" s="10"/>
      <c r="C62" s="9"/>
      <c r="D62" s="9"/>
      <c r="E62" s="9"/>
      <c r="F62" s="11"/>
      <c r="G62" s="11"/>
      <c r="H62" s="11"/>
      <c r="I62" s="9"/>
      <c r="J62" s="9"/>
      <c r="K62" s="9"/>
      <c r="L62" s="11"/>
      <c r="M62" s="11"/>
      <c r="N62" s="11"/>
      <c r="O62" s="9"/>
      <c r="P62" s="9"/>
      <c r="Q62" s="9"/>
      <c r="R62" s="11"/>
      <c r="S62" s="11"/>
      <c r="T62" s="11"/>
      <c r="U62" s="9"/>
      <c r="V62" s="9"/>
      <c r="W62" s="9"/>
    </row>
    <row r="63" customFormat="false" ht="15" hidden="false" customHeight="false" outlineLevel="0" collapsed="false">
      <c r="A63" s="9"/>
      <c r="B63" s="10"/>
      <c r="C63" s="9"/>
      <c r="D63" s="9"/>
      <c r="E63" s="9"/>
      <c r="F63" s="11"/>
      <c r="G63" s="11"/>
      <c r="H63" s="11"/>
      <c r="I63" s="9"/>
      <c r="J63" s="9"/>
      <c r="K63" s="9"/>
      <c r="L63" s="11"/>
      <c r="M63" s="11"/>
      <c r="N63" s="11"/>
      <c r="O63" s="9"/>
      <c r="P63" s="9"/>
      <c r="Q63" s="9"/>
      <c r="R63" s="11"/>
      <c r="S63" s="11"/>
      <c r="T63" s="11"/>
      <c r="U63" s="9"/>
      <c r="V63" s="9"/>
      <c r="W63" s="9"/>
    </row>
    <row r="64" customFormat="false" ht="15" hidden="false" customHeight="false" outlineLevel="0" collapsed="false">
      <c r="A64" s="9"/>
      <c r="B64" s="10"/>
      <c r="C64" s="9"/>
      <c r="D64" s="9"/>
      <c r="E64" s="9"/>
      <c r="F64" s="11"/>
      <c r="G64" s="11"/>
      <c r="H64" s="11"/>
      <c r="I64" s="9"/>
      <c r="J64" s="9"/>
      <c r="K64" s="9"/>
      <c r="L64" s="11"/>
      <c r="M64" s="11"/>
      <c r="N64" s="11"/>
      <c r="O64" s="9"/>
      <c r="P64" s="9"/>
      <c r="Q64" s="9"/>
      <c r="R64" s="11"/>
      <c r="S64" s="11"/>
      <c r="T64" s="11"/>
      <c r="U64" s="9"/>
      <c r="V64" s="9"/>
      <c r="W64" s="9"/>
    </row>
    <row r="65" customFormat="false" ht="15" hidden="false" customHeight="false" outlineLevel="0" collapsed="false">
      <c r="A65" s="9"/>
      <c r="B65" s="10"/>
      <c r="C65" s="9"/>
      <c r="D65" s="9"/>
      <c r="E65" s="9"/>
      <c r="F65" s="11"/>
      <c r="G65" s="11"/>
      <c r="H65" s="11"/>
      <c r="I65" s="9"/>
      <c r="J65" s="9"/>
      <c r="K65" s="9"/>
      <c r="L65" s="11"/>
      <c r="M65" s="11"/>
      <c r="N65" s="11"/>
      <c r="O65" s="9"/>
      <c r="P65" s="9"/>
      <c r="Q65" s="9"/>
      <c r="R65" s="11"/>
      <c r="S65" s="11"/>
      <c r="T65" s="11"/>
      <c r="U65" s="9"/>
      <c r="V65" s="9"/>
      <c r="W65" s="9"/>
    </row>
    <row r="66" customFormat="false" ht="15" hidden="false" customHeight="false" outlineLevel="0" collapsed="false">
      <c r="A66" s="9"/>
      <c r="B66" s="10"/>
      <c r="C66" s="9"/>
      <c r="D66" s="9"/>
      <c r="E66" s="9"/>
      <c r="F66" s="11"/>
      <c r="G66" s="11"/>
      <c r="H66" s="11"/>
      <c r="I66" s="9"/>
      <c r="J66" s="9"/>
      <c r="K66" s="9"/>
      <c r="L66" s="11"/>
      <c r="M66" s="11"/>
      <c r="N66" s="11"/>
      <c r="O66" s="9"/>
      <c r="P66" s="9"/>
      <c r="Q66" s="9"/>
      <c r="R66" s="11"/>
      <c r="S66" s="11"/>
      <c r="T66" s="11"/>
      <c r="U66" s="9"/>
      <c r="V66" s="9"/>
      <c r="W66" s="9"/>
    </row>
    <row r="67" customFormat="false" ht="15" hidden="false" customHeight="false" outlineLevel="0" collapsed="false">
      <c r="A67" s="9"/>
      <c r="B67" s="10"/>
      <c r="C67" s="9"/>
      <c r="D67" s="9"/>
      <c r="E67" s="9"/>
      <c r="F67" s="11"/>
      <c r="G67" s="11"/>
      <c r="H67" s="11"/>
      <c r="I67" s="9"/>
      <c r="J67" s="9"/>
      <c r="K67" s="9"/>
      <c r="L67" s="11"/>
      <c r="M67" s="11"/>
      <c r="N67" s="11"/>
      <c r="O67" s="9"/>
      <c r="P67" s="9"/>
      <c r="Q67" s="9"/>
      <c r="R67" s="11"/>
      <c r="S67" s="11"/>
      <c r="T67" s="11"/>
      <c r="U67" s="9"/>
      <c r="V67" s="9"/>
      <c r="W67" s="9"/>
    </row>
    <row r="68" customFormat="false" ht="15" hidden="false" customHeight="false" outlineLevel="0" collapsed="false">
      <c r="A68" s="9"/>
      <c r="B68" s="10"/>
      <c r="C68" s="9"/>
      <c r="D68" s="9"/>
      <c r="E68" s="9"/>
      <c r="F68" s="11"/>
      <c r="G68" s="11"/>
      <c r="H68" s="11"/>
      <c r="I68" s="9"/>
      <c r="J68" s="9"/>
      <c r="K68" s="9"/>
      <c r="L68" s="11"/>
      <c r="M68" s="11"/>
      <c r="N68" s="11"/>
      <c r="O68" s="9"/>
      <c r="P68" s="9"/>
      <c r="Q68" s="9"/>
      <c r="R68" s="11"/>
      <c r="S68" s="11"/>
      <c r="T68" s="11"/>
      <c r="U68" s="9"/>
      <c r="V68" s="9"/>
      <c r="W68" s="9"/>
    </row>
    <row r="69" customFormat="false" ht="15" hidden="false" customHeight="false" outlineLevel="0" collapsed="false">
      <c r="A69" s="9"/>
      <c r="B69" s="10"/>
      <c r="C69" s="9"/>
      <c r="D69" s="9"/>
      <c r="E69" s="9"/>
      <c r="F69" s="11"/>
      <c r="G69" s="11"/>
      <c r="H69" s="11"/>
      <c r="I69" s="9"/>
      <c r="J69" s="9"/>
      <c r="K69" s="9"/>
      <c r="L69" s="11"/>
      <c r="M69" s="11"/>
      <c r="N69" s="11"/>
      <c r="O69" s="9"/>
      <c r="P69" s="9"/>
      <c r="Q69" s="9"/>
      <c r="R69" s="11"/>
      <c r="S69" s="11"/>
      <c r="T69" s="11"/>
      <c r="U69" s="9"/>
      <c r="V69" s="9"/>
      <c r="W69" s="9"/>
    </row>
    <row r="70" customFormat="false" ht="15" hidden="false" customHeight="false" outlineLevel="0" collapsed="false">
      <c r="A70" s="9"/>
      <c r="B70" s="10"/>
      <c r="C70" s="9"/>
      <c r="D70" s="9"/>
      <c r="E70" s="9"/>
      <c r="F70" s="11"/>
      <c r="G70" s="11"/>
      <c r="H70" s="11"/>
      <c r="I70" s="9"/>
      <c r="J70" s="9"/>
      <c r="K70" s="9"/>
      <c r="L70" s="11"/>
      <c r="M70" s="11"/>
      <c r="N70" s="11"/>
      <c r="O70" s="9"/>
      <c r="P70" s="9"/>
      <c r="Q70" s="9"/>
      <c r="R70" s="11"/>
      <c r="S70" s="11"/>
      <c r="T70" s="11"/>
      <c r="U70" s="9"/>
      <c r="V70" s="9"/>
      <c r="W70" s="9"/>
    </row>
    <row r="71" customFormat="false" ht="15" hidden="false" customHeight="false" outlineLevel="0" collapsed="false">
      <c r="A71" s="9"/>
      <c r="B71" s="10"/>
      <c r="C71" s="9"/>
      <c r="D71" s="9"/>
      <c r="E71" s="9"/>
      <c r="F71" s="11"/>
      <c r="G71" s="11"/>
      <c r="H71" s="11"/>
      <c r="I71" s="9"/>
      <c r="J71" s="9"/>
      <c r="K71" s="9"/>
      <c r="L71" s="11"/>
      <c r="M71" s="11"/>
      <c r="N71" s="11"/>
      <c r="O71" s="9"/>
      <c r="P71" s="9"/>
      <c r="Q71" s="9"/>
      <c r="R71" s="11"/>
      <c r="S71" s="11"/>
      <c r="T71" s="11"/>
      <c r="U71" s="9"/>
      <c r="V71" s="9"/>
      <c r="W71" s="9"/>
    </row>
    <row r="72" customFormat="false" ht="15" hidden="false" customHeight="false" outlineLevel="0" collapsed="false">
      <c r="A72" s="9"/>
      <c r="B72" s="10"/>
      <c r="C72" s="9"/>
      <c r="D72" s="9"/>
      <c r="E72" s="9"/>
      <c r="F72" s="11"/>
      <c r="G72" s="11"/>
      <c r="H72" s="11"/>
      <c r="I72" s="9"/>
      <c r="J72" s="9"/>
      <c r="K72" s="9"/>
      <c r="L72" s="11"/>
      <c r="M72" s="11"/>
      <c r="N72" s="11"/>
      <c r="O72" s="9"/>
      <c r="P72" s="9"/>
      <c r="Q72" s="9"/>
      <c r="R72" s="11"/>
      <c r="S72" s="11"/>
      <c r="T72" s="11"/>
      <c r="U72" s="9"/>
      <c r="V72" s="9"/>
      <c r="W72" s="9"/>
    </row>
    <row r="73" customFormat="false" ht="15" hidden="false" customHeight="false" outlineLevel="0" collapsed="false">
      <c r="A73" s="9"/>
      <c r="B73" s="10"/>
      <c r="C73" s="9"/>
      <c r="D73" s="9"/>
      <c r="E73" s="9"/>
      <c r="F73" s="11"/>
      <c r="G73" s="11"/>
      <c r="H73" s="11"/>
      <c r="I73" s="9"/>
      <c r="J73" s="9"/>
      <c r="K73" s="9"/>
      <c r="L73" s="11"/>
      <c r="M73" s="11"/>
      <c r="N73" s="11"/>
      <c r="O73" s="9"/>
      <c r="P73" s="9"/>
      <c r="Q73" s="9"/>
      <c r="R73" s="11"/>
      <c r="S73" s="11"/>
      <c r="T73" s="11"/>
      <c r="U73" s="9"/>
      <c r="V73" s="9"/>
      <c r="W73" s="9"/>
    </row>
    <row r="74" customFormat="false" ht="15" hidden="false" customHeight="false" outlineLevel="0" collapsed="false">
      <c r="A74" s="9"/>
      <c r="B74" s="10"/>
      <c r="C74" s="9"/>
      <c r="D74" s="9"/>
      <c r="E74" s="9"/>
      <c r="F74" s="11"/>
      <c r="G74" s="11"/>
      <c r="H74" s="11"/>
      <c r="I74" s="9"/>
      <c r="J74" s="9"/>
      <c r="K74" s="9"/>
      <c r="L74" s="11"/>
      <c r="M74" s="11"/>
      <c r="N74" s="11"/>
      <c r="O74" s="9"/>
      <c r="P74" s="9"/>
      <c r="Q74" s="9"/>
      <c r="R74" s="11"/>
      <c r="S74" s="11"/>
      <c r="T74" s="11"/>
      <c r="U74" s="9"/>
      <c r="V74" s="9"/>
      <c r="W74" s="9"/>
    </row>
    <row r="75" customFormat="false" ht="15" hidden="false" customHeight="false" outlineLevel="0" collapsed="false">
      <c r="A75" s="9"/>
      <c r="B75" s="10"/>
      <c r="C75" s="9"/>
      <c r="D75" s="9"/>
      <c r="E75" s="9"/>
      <c r="F75" s="11"/>
      <c r="G75" s="11"/>
      <c r="H75" s="11"/>
      <c r="I75" s="9"/>
      <c r="J75" s="9"/>
      <c r="K75" s="9"/>
      <c r="L75" s="11"/>
      <c r="M75" s="11"/>
      <c r="N75" s="11"/>
      <c r="O75" s="9"/>
      <c r="P75" s="9"/>
      <c r="Q75" s="9"/>
      <c r="R75" s="11"/>
      <c r="S75" s="11"/>
      <c r="T75" s="11"/>
      <c r="U75" s="9"/>
      <c r="V75" s="9"/>
      <c r="W75" s="9"/>
    </row>
    <row r="76" customFormat="false" ht="15" hidden="false" customHeight="false" outlineLevel="0" collapsed="false">
      <c r="A76" s="9"/>
      <c r="B76" s="10"/>
      <c r="C76" s="9"/>
      <c r="D76" s="9"/>
      <c r="E76" s="9"/>
      <c r="F76" s="11"/>
      <c r="G76" s="11"/>
      <c r="H76" s="11"/>
      <c r="I76" s="9"/>
      <c r="J76" s="9"/>
      <c r="K76" s="9"/>
      <c r="L76" s="11"/>
      <c r="M76" s="11"/>
      <c r="N76" s="11"/>
      <c r="O76" s="9"/>
      <c r="P76" s="9"/>
      <c r="Q76" s="9"/>
      <c r="R76" s="11"/>
      <c r="S76" s="11"/>
      <c r="T76" s="11"/>
      <c r="U76" s="9"/>
      <c r="V76" s="9"/>
      <c r="W76" s="9"/>
    </row>
    <row r="77" customFormat="false" ht="15" hidden="false" customHeight="false" outlineLevel="0" collapsed="false">
      <c r="A77" s="9"/>
      <c r="B77" s="10"/>
      <c r="C77" s="9"/>
      <c r="D77" s="9"/>
      <c r="E77" s="9"/>
      <c r="F77" s="11"/>
      <c r="G77" s="11"/>
      <c r="H77" s="11"/>
      <c r="I77" s="9"/>
      <c r="J77" s="9"/>
      <c r="K77" s="9"/>
      <c r="L77" s="11"/>
      <c r="M77" s="11"/>
      <c r="N77" s="11"/>
      <c r="O77" s="9"/>
      <c r="P77" s="9"/>
      <c r="Q77" s="9"/>
      <c r="R77" s="11"/>
      <c r="S77" s="11"/>
      <c r="T77" s="11"/>
      <c r="U77" s="9"/>
      <c r="V77" s="9"/>
      <c r="W77" s="9"/>
    </row>
    <row r="78" customFormat="false" ht="15" hidden="false" customHeight="false" outlineLevel="0" collapsed="false">
      <c r="A78" s="9"/>
      <c r="B78" s="10"/>
      <c r="C78" s="9"/>
      <c r="D78" s="9"/>
      <c r="E78" s="9"/>
      <c r="F78" s="11"/>
      <c r="G78" s="11"/>
      <c r="H78" s="11"/>
      <c r="I78" s="9"/>
      <c r="J78" s="9"/>
      <c r="K78" s="9"/>
      <c r="L78" s="11"/>
      <c r="M78" s="11"/>
      <c r="N78" s="11"/>
      <c r="O78" s="9"/>
      <c r="P78" s="9"/>
      <c r="Q78" s="9"/>
      <c r="R78" s="11"/>
      <c r="S78" s="11"/>
      <c r="T78" s="11"/>
      <c r="U78" s="9"/>
      <c r="V78" s="9"/>
      <c r="W78" s="9"/>
    </row>
    <row r="79" customFormat="false" ht="15" hidden="false" customHeight="false" outlineLevel="0" collapsed="false">
      <c r="A79" s="9"/>
      <c r="B79" s="10"/>
      <c r="C79" s="9"/>
      <c r="D79" s="9"/>
      <c r="E79" s="9"/>
      <c r="F79" s="11"/>
      <c r="G79" s="11"/>
      <c r="H79" s="11"/>
      <c r="I79" s="9"/>
      <c r="J79" s="9"/>
      <c r="K79" s="9"/>
      <c r="L79" s="11"/>
      <c r="M79" s="11"/>
      <c r="N79" s="11"/>
      <c r="O79" s="9"/>
      <c r="P79" s="9"/>
      <c r="Q79" s="9"/>
      <c r="R79" s="11"/>
      <c r="S79" s="11"/>
      <c r="T79" s="11"/>
      <c r="U79" s="9"/>
      <c r="V79" s="9"/>
      <c r="W79" s="9"/>
    </row>
    <row r="80" customFormat="false" ht="15" hidden="false" customHeight="false" outlineLevel="0" collapsed="false">
      <c r="A80" s="9"/>
      <c r="B80" s="10"/>
      <c r="C80" s="9"/>
      <c r="D80" s="9"/>
      <c r="E80" s="9"/>
      <c r="F80" s="11"/>
      <c r="G80" s="11"/>
      <c r="H80" s="11"/>
      <c r="I80" s="9"/>
      <c r="J80" s="9"/>
      <c r="K80" s="9"/>
      <c r="L80" s="11"/>
      <c r="M80" s="11"/>
      <c r="N80" s="11"/>
      <c r="O80" s="9"/>
      <c r="P80" s="9"/>
      <c r="Q80" s="9"/>
      <c r="R80" s="11"/>
      <c r="S80" s="11"/>
      <c r="T80" s="11"/>
      <c r="U80" s="9"/>
      <c r="V80" s="9"/>
      <c r="W80" s="9"/>
    </row>
    <row r="81" customFormat="false" ht="15" hidden="false" customHeight="false" outlineLevel="0" collapsed="false">
      <c r="A81" s="9"/>
      <c r="B81" s="10"/>
      <c r="C81" s="9"/>
      <c r="D81" s="9"/>
      <c r="E81" s="9"/>
      <c r="F81" s="11"/>
      <c r="G81" s="11"/>
      <c r="H81" s="11"/>
      <c r="I81" s="9"/>
      <c r="J81" s="9"/>
      <c r="K81" s="9"/>
      <c r="L81" s="11"/>
      <c r="M81" s="11"/>
      <c r="N81" s="11"/>
      <c r="O81" s="9"/>
      <c r="P81" s="9"/>
      <c r="Q81" s="9"/>
      <c r="R81" s="11"/>
      <c r="S81" s="11"/>
      <c r="T81" s="11"/>
      <c r="U81" s="9"/>
      <c r="V81" s="9"/>
      <c r="W81" s="9"/>
    </row>
    <row r="82" customFormat="false" ht="15" hidden="false" customHeight="false" outlineLevel="0" collapsed="false">
      <c r="A82" s="9"/>
      <c r="B82" s="10"/>
      <c r="C82" s="9"/>
      <c r="D82" s="9"/>
      <c r="E82" s="9"/>
      <c r="F82" s="11"/>
      <c r="G82" s="11"/>
      <c r="H82" s="11"/>
      <c r="I82" s="9"/>
      <c r="J82" s="9"/>
      <c r="K82" s="9"/>
      <c r="L82" s="11"/>
      <c r="M82" s="11"/>
      <c r="N82" s="11"/>
      <c r="O82" s="9"/>
      <c r="P82" s="9"/>
      <c r="Q82" s="9"/>
      <c r="R82" s="11"/>
      <c r="S82" s="11"/>
      <c r="T82" s="11"/>
      <c r="U82" s="9"/>
      <c r="V82" s="9"/>
      <c r="W82" s="9"/>
    </row>
    <row r="83" customFormat="false" ht="15" hidden="false" customHeight="false" outlineLevel="0" collapsed="false">
      <c r="A83" s="9"/>
      <c r="B83" s="10"/>
      <c r="C83" s="9"/>
      <c r="D83" s="9"/>
      <c r="E83" s="9"/>
      <c r="F83" s="11"/>
      <c r="G83" s="11"/>
      <c r="H83" s="11"/>
      <c r="I83" s="9"/>
      <c r="J83" s="9"/>
      <c r="K83" s="9"/>
      <c r="L83" s="11"/>
      <c r="M83" s="11"/>
      <c r="N83" s="11"/>
      <c r="O83" s="9"/>
      <c r="P83" s="9"/>
      <c r="Q83" s="9"/>
      <c r="R83" s="11"/>
      <c r="S83" s="11"/>
      <c r="T83" s="11"/>
      <c r="U83" s="9"/>
      <c r="V83" s="9"/>
      <c r="W83" s="9"/>
    </row>
    <row r="84" customFormat="false" ht="15" hidden="false" customHeight="false" outlineLevel="0" collapsed="false">
      <c r="A84" s="9"/>
      <c r="B84" s="10"/>
      <c r="C84" s="9"/>
      <c r="D84" s="9"/>
      <c r="E84" s="9"/>
      <c r="F84" s="11"/>
      <c r="G84" s="11"/>
      <c r="H84" s="11"/>
      <c r="I84" s="9"/>
      <c r="J84" s="9"/>
      <c r="K84" s="9"/>
      <c r="L84" s="11"/>
      <c r="M84" s="11"/>
      <c r="N84" s="11"/>
      <c r="O84" s="9"/>
      <c r="P84" s="9"/>
      <c r="Q84" s="9"/>
      <c r="R84" s="11"/>
      <c r="S84" s="11"/>
      <c r="T84" s="11"/>
      <c r="U84" s="9"/>
      <c r="V84" s="9"/>
      <c r="W84" s="9"/>
    </row>
    <row r="85" customFormat="false" ht="15" hidden="false" customHeight="false" outlineLevel="0" collapsed="false">
      <c r="A85" s="9"/>
      <c r="B85" s="10"/>
      <c r="C85" s="9"/>
      <c r="D85" s="9"/>
      <c r="E85" s="9"/>
      <c r="F85" s="11"/>
      <c r="G85" s="11"/>
      <c r="H85" s="11"/>
      <c r="I85" s="9"/>
      <c r="J85" s="9"/>
      <c r="K85" s="9"/>
      <c r="L85" s="11"/>
      <c r="M85" s="11"/>
      <c r="N85" s="11"/>
      <c r="O85" s="9"/>
      <c r="P85" s="9"/>
      <c r="Q85" s="9"/>
      <c r="R85" s="11"/>
      <c r="S85" s="11"/>
      <c r="T85" s="11"/>
      <c r="U85" s="9"/>
      <c r="V85" s="9"/>
      <c r="W85" s="9"/>
    </row>
    <row r="86" customFormat="false" ht="15" hidden="false" customHeight="false" outlineLevel="0" collapsed="false">
      <c r="A86" s="9"/>
      <c r="B86" s="10"/>
      <c r="C86" s="9"/>
      <c r="D86" s="9"/>
      <c r="E86" s="9"/>
      <c r="F86" s="11"/>
      <c r="G86" s="11"/>
      <c r="H86" s="11"/>
      <c r="I86" s="9"/>
      <c r="J86" s="9"/>
      <c r="K86" s="9"/>
      <c r="L86" s="11"/>
      <c r="M86" s="11"/>
      <c r="N86" s="11"/>
      <c r="O86" s="9"/>
      <c r="P86" s="9"/>
      <c r="Q86" s="9"/>
      <c r="R86" s="11"/>
      <c r="S86" s="11"/>
      <c r="T86" s="11"/>
      <c r="U86" s="9"/>
      <c r="V86" s="9"/>
      <c r="W86" s="9"/>
    </row>
    <row r="87" customFormat="false" ht="15" hidden="false" customHeight="false" outlineLevel="0" collapsed="false">
      <c r="A87" s="9"/>
      <c r="B87" s="10"/>
      <c r="C87" s="9"/>
      <c r="D87" s="9"/>
      <c r="E87" s="9"/>
      <c r="F87" s="11"/>
      <c r="G87" s="11"/>
      <c r="H87" s="11"/>
      <c r="I87" s="9"/>
      <c r="J87" s="9"/>
      <c r="K87" s="9"/>
      <c r="L87" s="11"/>
      <c r="M87" s="11"/>
      <c r="N87" s="11"/>
      <c r="O87" s="9"/>
      <c r="P87" s="9"/>
      <c r="Q87" s="9"/>
      <c r="R87" s="11"/>
      <c r="S87" s="11"/>
      <c r="T87" s="11"/>
      <c r="U87" s="9"/>
      <c r="V87" s="9"/>
      <c r="W87" s="9"/>
    </row>
    <row r="88" customFormat="false" ht="15" hidden="false" customHeight="false" outlineLevel="0" collapsed="false">
      <c r="A88" s="9"/>
      <c r="B88" s="10"/>
      <c r="C88" s="9"/>
      <c r="D88" s="9"/>
      <c r="E88" s="9"/>
      <c r="F88" s="11"/>
      <c r="G88" s="11"/>
      <c r="H88" s="11"/>
      <c r="I88" s="9"/>
      <c r="J88" s="9"/>
      <c r="K88" s="9"/>
      <c r="L88" s="11"/>
      <c r="M88" s="11"/>
      <c r="N88" s="11"/>
      <c r="O88" s="9"/>
      <c r="P88" s="9"/>
      <c r="Q88" s="9"/>
      <c r="R88" s="11"/>
      <c r="S88" s="11"/>
      <c r="T88" s="11"/>
      <c r="U88" s="9"/>
      <c r="V88" s="9"/>
      <c r="W88" s="9"/>
    </row>
    <row r="89" customFormat="false" ht="15" hidden="false" customHeight="false" outlineLevel="0" collapsed="false">
      <c r="A89" s="9"/>
      <c r="B89" s="10"/>
      <c r="C89" s="9"/>
      <c r="D89" s="9"/>
      <c r="E89" s="9"/>
      <c r="F89" s="11"/>
      <c r="G89" s="11"/>
      <c r="H89" s="11"/>
      <c r="I89" s="9"/>
      <c r="J89" s="9"/>
      <c r="K89" s="9"/>
      <c r="L89" s="11"/>
      <c r="M89" s="11"/>
      <c r="N89" s="11"/>
      <c r="O89" s="9"/>
      <c r="P89" s="9"/>
      <c r="Q89" s="9"/>
      <c r="R89" s="11"/>
      <c r="S89" s="11"/>
      <c r="T89" s="11"/>
      <c r="U89" s="9"/>
      <c r="V89" s="9"/>
      <c r="W89" s="9"/>
    </row>
    <row r="90" customFormat="false" ht="15" hidden="false" customHeight="false" outlineLevel="0" collapsed="false">
      <c r="A90" s="9"/>
      <c r="B90" s="10"/>
      <c r="C90" s="9"/>
      <c r="D90" s="9"/>
      <c r="E90" s="9"/>
      <c r="F90" s="11"/>
      <c r="G90" s="11"/>
      <c r="H90" s="11"/>
      <c r="I90" s="9"/>
      <c r="J90" s="9"/>
      <c r="K90" s="9"/>
      <c r="L90" s="11"/>
      <c r="M90" s="11"/>
      <c r="N90" s="11"/>
      <c r="O90" s="9"/>
      <c r="P90" s="9"/>
      <c r="Q90" s="9"/>
      <c r="R90" s="11"/>
      <c r="S90" s="11"/>
      <c r="T90" s="11"/>
      <c r="U90" s="9"/>
      <c r="V90" s="9"/>
      <c r="W90" s="9"/>
    </row>
    <row r="91" customFormat="false" ht="15" hidden="false" customHeight="false" outlineLevel="0" collapsed="false">
      <c r="A91" s="9"/>
      <c r="B91" s="10"/>
      <c r="C91" s="9"/>
      <c r="D91" s="9"/>
      <c r="E91" s="9"/>
      <c r="F91" s="11"/>
      <c r="G91" s="11"/>
      <c r="H91" s="11"/>
      <c r="I91" s="9"/>
      <c r="J91" s="9"/>
      <c r="K91" s="9"/>
      <c r="L91" s="11"/>
      <c r="M91" s="11"/>
      <c r="N91" s="11"/>
      <c r="O91" s="9"/>
      <c r="P91" s="9"/>
      <c r="Q91" s="9"/>
      <c r="R91" s="11"/>
      <c r="S91" s="11"/>
      <c r="T91" s="11"/>
      <c r="U91" s="9"/>
      <c r="V91" s="9"/>
      <c r="W91" s="9"/>
    </row>
    <row r="92" customFormat="false" ht="15" hidden="false" customHeight="false" outlineLevel="0" collapsed="false">
      <c r="A92" s="9"/>
      <c r="B92" s="10"/>
      <c r="C92" s="9"/>
      <c r="D92" s="9"/>
      <c r="E92" s="9"/>
      <c r="F92" s="11"/>
      <c r="G92" s="11"/>
      <c r="H92" s="11"/>
      <c r="I92" s="9"/>
      <c r="J92" s="9"/>
      <c r="K92" s="9"/>
      <c r="L92" s="11"/>
      <c r="M92" s="11"/>
      <c r="N92" s="11"/>
      <c r="O92" s="9"/>
      <c r="P92" s="9"/>
      <c r="Q92" s="9"/>
      <c r="R92" s="11"/>
      <c r="S92" s="11"/>
      <c r="T92" s="11"/>
      <c r="U92" s="9"/>
      <c r="V92" s="9"/>
      <c r="W92" s="9"/>
    </row>
    <row r="93" customFormat="false" ht="15" hidden="false" customHeight="false" outlineLevel="0" collapsed="false">
      <c r="A93" s="9"/>
      <c r="B93" s="10"/>
      <c r="C93" s="9"/>
      <c r="D93" s="9"/>
      <c r="E93" s="9"/>
      <c r="F93" s="11"/>
      <c r="G93" s="11"/>
      <c r="H93" s="11"/>
      <c r="I93" s="9"/>
      <c r="J93" s="9"/>
      <c r="K93" s="9"/>
      <c r="L93" s="11"/>
      <c r="M93" s="11"/>
      <c r="N93" s="11"/>
      <c r="O93" s="9"/>
      <c r="P93" s="9"/>
      <c r="Q93" s="9"/>
      <c r="R93" s="11"/>
      <c r="S93" s="11"/>
      <c r="T93" s="11"/>
      <c r="U93" s="9"/>
      <c r="V93" s="9"/>
      <c r="W93" s="9"/>
    </row>
    <row r="94" customFormat="false" ht="15" hidden="false" customHeight="false" outlineLevel="0" collapsed="false">
      <c r="A94" s="9"/>
      <c r="B94" s="10"/>
      <c r="C94" s="9"/>
      <c r="D94" s="9"/>
      <c r="E94" s="9"/>
      <c r="F94" s="11"/>
      <c r="G94" s="11"/>
      <c r="H94" s="11"/>
      <c r="I94" s="9"/>
      <c r="J94" s="9"/>
      <c r="K94" s="9"/>
      <c r="L94" s="11"/>
      <c r="M94" s="11"/>
      <c r="N94" s="11"/>
      <c r="O94" s="9"/>
      <c r="P94" s="9"/>
      <c r="Q94" s="9"/>
      <c r="R94" s="11"/>
      <c r="S94" s="11"/>
      <c r="T94" s="11"/>
      <c r="U94" s="9"/>
      <c r="V94" s="9"/>
      <c r="W94" s="9"/>
    </row>
    <row r="95" customFormat="false" ht="15" hidden="false" customHeight="false" outlineLevel="0" collapsed="false">
      <c r="A95" s="9"/>
      <c r="B95" s="10"/>
      <c r="C95" s="9"/>
      <c r="D95" s="9"/>
      <c r="E95" s="9"/>
      <c r="F95" s="11"/>
      <c r="G95" s="11"/>
      <c r="H95" s="11"/>
      <c r="I95" s="9"/>
      <c r="J95" s="9"/>
      <c r="K95" s="9"/>
      <c r="L95" s="11"/>
      <c r="M95" s="11"/>
      <c r="N95" s="11"/>
      <c r="O95" s="9"/>
      <c r="P95" s="9"/>
      <c r="Q95" s="9"/>
      <c r="R95" s="11"/>
      <c r="S95" s="11"/>
      <c r="T95" s="11"/>
      <c r="U95" s="9"/>
      <c r="V95" s="9"/>
      <c r="W95" s="9"/>
    </row>
    <row r="96" customFormat="false" ht="15" hidden="false" customHeight="false" outlineLevel="0" collapsed="false">
      <c r="A96" s="9"/>
      <c r="B96" s="10"/>
      <c r="C96" s="9"/>
      <c r="D96" s="9"/>
      <c r="E96" s="9"/>
      <c r="F96" s="11"/>
      <c r="G96" s="11"/>
      <c r="H96" s="11"/>
      <c r="I96" s="9"/>
      <c r="J96" s="9"/>
      <c r="K96" s="9"/>
      <c r="L96" s="11"/>
      <c r="M96" s="11"/>
      <c r="N96" s="11"/>
      <c r="O96" s="9"/>
      <c r="P96" s="9"/>
      <c r="Q96" s="9"/>
      <c r="R96" s="11"/>
      <c r="S96" s="11"/>
      <c r="T96" s="11"/>
      <c r="U96" s="9"/>
      <c r="V96" s="9"/>
      <c r="W96" s="9"/>
    </row>
    <row r="97" customFormat="false" ht="15" hidden="false" customHeight="false" outlineLevel="0" collapsed="false">
      <c r="A97" s="9"/>
      <c r="B97" s="10"/>
      <c r="C97" s="9"/>
      <c r="D97" s="9"/>
      <c r="E97" s="9"/>
      <c r="F97" s="11"/>
      <c r="G97" s="11"/>
      <c r="H97" s="11"/>
      <c r="I97" s="9"/>
      <c r="J97" s="9"/>
      <c r="K97" s="9"/>
      <c r="L97" s="11"/>
      <c r="M97" s="11"/>
      <c r="N97" s="11"/>
      <c r="O97" s="9"/>
      <c r="P97" s="9"/>
      <c r="Q97" s="9"/>
      <c r="R97" s="11"/>
      <c r="S97" s="11"/>
      <c r="T97" s="11"/>
      <c r="U97" s="9"/>
      <c r="V97" s="9"/>
      <c r="W97" s="9"/>
    </row>
    <row r="98" customFormat="false" ht="15" hidden="false" customHeight="false" outlineLevel="0" collapsed="false">
      <c r="A98" s="9"/>
      <c r="B98" s="10"/>
      <c r="C98" s="9"/>
      <c r="D98" s="9"/>
      <c r="E98" s="9"/>
      <c r="F98" s="11"/>
      <c r="G98" s="11"/>
      <c r="H98" s="11"/>
      <c r="I98" s="9"/>
      <c r="J98" s="9"/>
      <c r="K98" s="9"/>
      <c r="L98" s="11"/>
      <c r="M98" s="11"/>
      <c r="N98" s="11"/>
      <c r="O98" s="9"/>
      <c r="P98" s="9"/>
      <c r="Q98" s="9"/>
      <c r="R98" s="11"/>
      <c r="S98" s="11"/>
      <c r="T98" s="11"/>
      <c r="U98" s="9"/>
      <c r="V98" s="9"/>
      <c r="W98" s="9"/>
    </row>
    <row r="99" customFormat="false" ht="15" hidden="false" customHeight="false" outlineLevel="0" collapsed="false">
      <c r="A99" s="9"/>
      <c r="B99" s="10"/>
      <c r="C99" s="9"/>
      <c r="D99" s="9"/>
      <c r="E99" s="9"/>
      <c r="F99" s="11"/>
      <c r="G99" s="11"/>
      <c r="H99" s="11"/>
      <c r="I99" s="9"/>
      <c r="J99" s="9"/>
      <c r="K99" s="9"/>
      <c r="L99" s="11"/>
      <c r="M99" s="11"/>
      <c r="N99" s="11"/>
      <c r="O99" s="9"/>
      <c r="P99" s="9"/>
      <c r="Q99" s="9"/>
      <c r="R99" s="11"/>
      <c r="S99" s="11"/>
      <c r="T99" s="11"/>
      <c r="U99" s="9"/>
      <c r="V99" s="9"/>
      <c r="W99" s="9"/>
    </row>
    <row r="100" customFormat="false" ht="15" hidden="false" customHeight="false" outlineLevel="0" collapsed="false">
      <c r="A100" s="9"/>
      <c r="B100" s="10"/>
      <c r="C100" s="9"/>
      <c r="D100" s="9"/>
      <c r="E100" s="9"/>
      <c r="F100" s="11"/>
      <c r="G100" s="11"/>
      <c r="H100" s="11"/>
      <c r="I100" s="9"/>
      <c r="J100" s="9"/>
      <c r="K100" s="9"/>
      <c r="L100" s="11"/>
      <c r="M100" s="11"/>
      <c r="N100" s="11"/>
      <c r="O100" s="9"/>
      <c r="P100" s="9"/>
      <c r="Q100" s="9"/>
      <c r="R100" s="11"/>
      <c r="S100" s="11"/>
      <c r="T100" s="11"/>
      <c r="U100" s="9"/>
      <c r="V100" s="9"/>
      <c r="W100" s="9"/>
    </row>
    <row r="101" customFormat="false" ht="15" hidden="false" customHeight="false" outlineLevel="0" collapsed="false">
      <c r="A101" s="9"/>
      <c r="B101" s="10"/>
      <c r="C101" s="9"/>
      <c r="D101" s="9"/>
      <c r="E101" s="9"/>
      <c r="F101" s="11"/>
      <c r="G101" s="11"/>
      <c r="H101" s="11"/>
      <c r="I101" s="9"/>
      <c r="J101" s="9"/>
      <c r="K101" s="9"/>
      <c r="L101" s="11"/>
      <c r="M101" s="11"/>
      <c r="N101" s="11"/>
      <c r="O101" s="9"/>
      <c r="P101" s="9"/>
      <c r="Q101" s="9"/>
      <c r="R101" s="11"/>
      <c r="S101" s="11"/>
      <c r="T101" s="11"/>
      <c r="U101" s="9"/>
      <c r="V101" s="9"/>
      <c r="W101" s="9"/>
    </row>
    <row r="102" customFormat="false" ht="15" hidden="false" customHeight="false" outlineLevel="0" collapsed="false">
      <c r="A102" s="9"/>
      <c r="B102" s="10"/>
      <c r="C102" s="9"/>
      <c r="D102" s="9"/>
      <c r="E102" s="9"/>
      <c r="F102" s="11"/>
      <c r="G102" s="11"/>
      <c r="H102" s="11"/>
      <c r="I102" s="9"/>
      <c r="J102" s="9"/>
      <c r="K102" s="9"/>
      <c r="L102" s="11"/>
      <c r="M102" s="11"/>
      <c r="N102" s="11"/>
      <c r="O102" s="9"/>
      <c r="P102" s="9"/>
      <c r="Q102" s="9"/>
      <c r="R102" s="11"/>
      <c r="S102" s="11"/>
      <c r="T102" s="11"/>
      <c r="U102" s="9"/>
      <c r="V102" s="9"/>
      <c r="W102" s="9"/>
    </row>
    <row r="103" customFormat="false" ht="15" hidden="false" customHeight="false" outlineLevel="0" collapsed="false">
      <c r="A103" s="9"/>
      <c r="B103" s="10"/>
      <c r="C103" s="9"/>
      <c r="D103" s="9"/>
      <c r="E103" s="9"/>
      <c r="F103" s="11"/>
      <c r="G103" s="11"/>
      <c r="H103" s="11"/>
      <c r="I103" s="9"/>
      <c r="J103" s="9"/>
      <c r="K103" s="9"/>
      <c r="L103" s="11"/>
      <c r="M103" s="11"/>
      <c r="N103" s="11"/>
      <c r="O103" s="9"/>
      <c r="P103" s="9"/>
      <c r="Q103" s="9"/>
      <c r="R103" s="11"/>
      <c r="S103" s="11"/>
      <c r="T103" s="11"/>
      <c r="U103" s="9"/>
      <c r="V103" s="9"/>
      <c r="W103" s="9"/>
    </row>
    <row r="104" customFormat="false" ht="15" hidden="false" customHeight="false" outlineLevel="0" collapsed="false">
      <c r="A104" s="9"/>
      <c r="B104" s="10"/>
      <c r="C104" s="9"/>
      <c r="D104" s="9"/>
      <c r="E104" s="9"/>
      <c r="F104" s="11"/>
      <c r="G104" s="11"/>
      <c r="H104" s="11"/>
      <c r="I104" s="9"/>
      <c r="J104" s="9"/>
      <c r="K104" s="9"/>
      <c r="L104" s="11"/>
      <c r="M104" s="11"/>
      <c r="N104" s="11"/>
      <c r="O104" s="9"/>
      <c r="P104" s="9"/>
      <c r="Q104" s="9"/>
      <c r="R104" s="11"/>
      <c r="S104" s="11"/>
      <c r="T104" s="11"/>
      <c r="U104" s="9"/>
      <c r="V104" s="9"/>
      <c r="W104" s="9"/>
    </row>
    <row r="105" customFormat="false" ht="15" hidden="false" customHeight="false" outlineLevel="0" collapsed="false">
      <c r="A105" s="9"/>
      <c r="B105" s="10"/>
      <c r="C105" s="9"/>
      <c r="D105" s="9"/>
      <c r="E105" s="9"/>
      <c r="F105" s="11"/>
      <c r="G105" s="11"/>
      <c r="H105" s="11"/>
      <c r="I105" s="9"/>
      <c r="J105" s="9"/>
      <c r="K105" s="9"/>
      <c r="L105" s="11"/>
      <c r="M105" s="11"/>
      <c r="N105" s="11"/>
      <c r="O105" s="9"/>
      <c r="P105" s="9"/>
      <c r="Q105" s="9"/>
      <c r="R105" s="11"/>
      <c r="S105" s="11"/>
      <c r="T105" s="11"/>
      <c r="U105" s="9"/>
      <c r="V105" s="9"/>
      <c r="W105" s="9"/>
    </row>
    <row r="106" customFormat="false" ht="15" hidden="false" customHeight="false" outlineLevel="0" collapsed="false">
      <c r="A106" s="9"/>
      <c r="B106" s="10"/>
      <c r="C106" s="9"/>
      <c r="D106" s="9"/>
      <c r="E106" s="9"/>
      <c r="F106" s="11"/>
      <c r="G106" s="11"/>
      <c r="H106" s="11"/>
      <c r="I106" s="9"/>
      <c r="J106" s="9"/>
      <c r="K106" s="9"/>
      <c r="L106" s="11"/>
      <c r="M106" s="11"/>
      <c r="N106" s="11"/>
      <c r="O106" s="9"/>
      <c r="P106" s="9"/>
      <c r="Q106" s="9"/>
      <c r="R106" s="11"/>
      <c r="S106" s="11"/>
      <c r="T106" s="11"/>
      <c r="U106" s="9"/>
      <c r="V106" s="9"/>
      <c r="W106" s="9"/>
    </row>
    <row r="107" customFormat="false" ht="15" hidden="false" customHeight="false" outlineLevel="0" collapsed="false">
      <c r="A107" s="9"/>
      <c r="B107" s="10"/>
      <c r="C107" s="9"/>
      <c r="D107" s="9"/>
      <c r="E107" s="9"/>
      <c r="F107" s="11"/>
      <c r="G107" s="11"/>
      <c r="H107" s="11"/>
      <c r="I107" s="9"/>
      <c r="J107" s="9"/>
      <c r="K107" s="9"/>
      <c r="L107" s="11"/>
      <c r="M107" s="11"/>
      <c r="N107" s="11"/>
      <c r="O107" s="9"/>
      <c r="P107" s="9"/>
      <c r="Q107" s="9"/>
      <c r="R107" s="11"/>
      <c r="S107" s="11"/>
      <c r="T107" s="11"/>
      <c r="U107" s="9"/>
      <c r="V107" s="9"/>
      <c r="W107" s="9"/>
    </row>
    <row r="108" customFormat="false" ht="15" hidden="false" customHeight="false" outlineLevel="0" collapsed="false">
      <c r="A108" s="9"/>
      <c r="B108" s="10"/>
      <c r="C108" s="9"/>
      <c r="D108" s="9"/>
      <c r="E108" s="9"/>
      <c r="F108" s="11"/>
      <c r="G108" s="11"/>
      <c r="H108" s="11"/>
      <c r="I108" s="9"/>
      <c r="J108" s="9"/>
      <c r="K108" s="9"/>
      <c r="L108" s="11"/>
      <c r="M108" s="11"/>
      <c r="N108" s="11"/>
      <c r="O108" s="9"/>
      <c r="P108" s="9"/>
      <c r="Q108" s="9"/>
      <c r="R108" s="11"/>
      <c r="S108" s="11"/>
      <c r="T108" s="11"/>
      <c r="U108" s="9"/>
      <c r="V108" s="9"/>
      <c r="W108" s="9"/>
    </row>
    <row r="109" customFormat="false" ht="15" hidden="false" customHeight="false" outlineLevel="0" collapsed="false">
      <c r="A109" s="9"/>
      <c r="B109" s="10"/>
      <c r="C109" s="9"/>
      <c r="D109" s="9"/>
      <c r="E109" s="9"/>
      <c r="F109" s="11"/>
      <c r="G109" s="11"/>
      <c r="H109" s="11"/>
      <c r="I109" s="9"/>
      <c r="J109" s="9"/>
      <c r="K109" s="9"/>
      <c r="L109" s="11"/>
      <c r="M109" s="11"/>
      <c r="N109" s="11"/>
      <c r="O109" s="9"/>
      <c r="P109" s="9"/>
      <c r="Q109" s="9"/>
      <c r="R109" s="11"/>
      <c r="S109" s="11"/>
      <c r="T109" s="11"/>
      <c r="U109" s="9"/>
      <c r="V109" s="9"/>
      <c r="W109" s="9"/>
    </row>
    <row r="110" customFormat="false" ht="15" hidden="false" customHeight="false" outlineLevel="0" collapsed="false">
      <c r="A110" s="9"/>
      <c r="B110" s="10"/>
      <c r="C110" s="9"/>
      <c r="D110" s="9"/>
      <c r="E110" s="9"/>
      <c r="F110" s="11"/>
      <c r="G110" s="11"/>
      <c r="H110" s="11"/>
      <c r="I110" s="9"/>
      <c r="J110" s="9"/>
      <c r="K110" s="9"/>
      <c r="L110" s="11"/>
      <c r="M110" s="11"/>
      <c r="N110" s="11"/>
      <c r="O110" s="9"/>
      <c r="P110" s="9"/>
      <c r="Q110" s="9"/>
      <c r="R110" s="11"/>
      <c r="S110" s="11"/>
      <c r="T110" s="11"/>
      <c r="U110" s="9"/>
      <c r="V110" s="9"/>
      <c r="W110" s="9"/>
    </row>
    <row r="111" customFormat="false" ht="15" hidden="false" customHeight="false" outlineLevel="0" collapsed="false">
      <c r="A111" s="9"/>
      <c r="B111" s="10"/>
      <c r="C111" s="9"/>
      <c r="D111" s="9"/>
      <c r="E111" s="9"/>
      <c r="F111" s="11"/>
      <c r="G111" s="11"/>
      <c r="H111" s="11"/>
      <c r="I111" s="9"/>
      <c r="J111" s="9"/>
      <c r="K111" s="9"/>
      <c r="L111" s="11"/>
      <c r="M111" s="11"/>
      <c r="N111" s="11"/>
      <c r="O111" s="9"/>
      <c r="P111" s="9"/>
      <c r="Q111" s="9"/>
      <c r="R111" s="11"/>
      <c r="S111" s="11"/>
      <c r="T111" s="11"/>
      <c r="U111" s="9"/>
      <c r="V111" s="9"/>
      <c r="W111" s="9"/>
    </row>
    <row r="112" customFormat="false" ht="15" hidden="false" customHeight="false" outlineLevel="0" collapsed="false">
      <c r="A112" s="9"/>
      <c r="B112" s="10"/>
      <c r="C112" s="9"/>
      <c r="D112" s="9"/>
      <c r="E112" s="9"/>
      <c r="F112" s="11"/>
      <c r="G112" s="11"/>
      <c r="H112" s="11"/>
      <c r="I112" s="9"/>
      <c r="J112" s="9"/>
      <c r="K112" s="9"/>
      <c r="L112" s="11"/>
      <c r="M112" s="11"/>
      <c r="N112" s="11"/>
      <c r="O112" s="9"/>
      <c r="P112" s="9"/>
      <c r="Q112" s="9"/>
      <c r="R112" s="11"/>
      <c r="S112" s="11"/>
      <c r="T112" s="11"/>
      <c r="U112" s="9"/>
      <c r="V112" s="9"/>
      <c r="W112" s="9"/>
    </row>
    <row r="113" customFormat="false" ht="15" hidden="false" customHeight="false" outlineLevel="0" collapsed="false">
      <c r="A113" s="9"/>
      <c r="B113" s="10"/>
      <c r="C113" s="9"/>
      <c r="D113" s="9"/>
      <c r="E113" s="9"/>
      <c r="F113" s="11"/>
      <c r="G113" s="11"/>
      <c r="H113" s="11"/>
      <c r="I113" s="9"/>
      <c r="J113" s="9"/>
      <c r="K113" s="9"/>
      <c r="L113" s="11"/>
      <c r="M113" s="11"/>
      <c r="N113" s="11"/>
      <c r="O113" s="9"/>
      <c r="P113" s="9"/>
      <c r="Q113" s="9"/>
      <c r="R113" s="11"/>
      <c r="S113" s="11"/>
      <c r="T113" s="11"/>
      <c r="U113" s="9"/>
      <c r="V113" s="9"/>
      <c r="W113" s="9"/>
    </row>
    <row r="114" customFormat="false" ht="15" hidden="false" customHeight="false" outlineLevel="0" collapsed="false">
      <c r="A114" s="9"/>
      <c r="B114" s="10"/>
      <c r="C114" s="9"/>
      <c r="D114" s="9"/>
      <c r="E114" s="9"/>
      <c r="F114" s="11"/>
      <c r="G114" s="11"/>
      <c r="H114" s="11"/>
      <c r="I114" s="9"/>
      <c r="J114" s="9"/>
      <c r="K114" s="9"/>
      <c r="L114" s="11"/>
      <c r="M114" s="11"/>
      <c r="N114" s="11"/>
      <c r="O114" s="9"/>
      <c r="P114" s="9"/>
      <c r="Q114" s="9"/>
      <c r="R114" s="11"/>
      <c r="S114" s="11"/>
      <c r="T114" s="11"/>
      <c r="U114" s="9"/>
      <c r="V114" s="9"/>
      <c r="W114" s="9"/>
    </row>
    <row r="115" customFormat="false" ht="15" hidden="false" customHeight="false" outlineLevel="0" collapsed="false">
      <c r="A115" s="9"/>
      <c r="B115" s="10"/>
      <c r="C115" s="9"/>
      <c r="D115" s="9"/>
      <c r="E115" s="9"/>
      <c r="F115" s="11"/>
      <c r="G115" s="11"/>
      <c r="H115" s="11"/>
      <c r="I115" s="9"/>
      <c r="J115" s="9"/>
      <c r="K115" s="9"/>
      <c r="L115" s="11"/>
      <c r="M115" s="11"/>
      <c r="N115" s="11"/>
      <c r="O115" s="9"/>
      <c r="P115" s="9"/>
      <c r="Q115" s="9"/>
      <c r="R115" s="11"/>
      <c r="S115" s="11"/>
      <c r="T115" s="11"/>
      <c r="U115" s="9"/>
      <c r="V115" s="9"/>
      <c r="W115" s="9"/>
    </row>
    <row r="116" customFormat="false" ht="15" hidden="false" customHeight="false" outlineLevel="0" collapsed="false">
      <c r="A116" s="9"/>
      <c r="B116" s="10"/>
      <c r="C116" s="9"/>
      <c r="D116" s="9"/>
      <c r="E116" s="9"/>
      <c r="F116" s="11"/>
      <c r="G116" s="11"/>
      <c r="H116" s="11"/>
      <c r="I116" s="9"/>
      <c r="J116" s="9"/>
      <c r="K116" s="9"/>
      <c r="L116" s="11"/>
      <c r="M116" s="11"/>
      <c r="N116" s="11"/>
      <c r="O116" s="9"/>
      <c r="P116" s="9"/>
      <c r="Q116" s="9"/>
      <c r="R116" s="11"/>
      <c r="S116" s="11"/>
      <c r="T116" s="11"/>
      <c r="U116" s="9"/>
      <c r="V116" s="9"/>
      <c r="W116" s="9"/>
    </row>
    <row r="117" customFormat="false" ht="15" hidden="false" customHeight="false" outlineLevel="0" collapsed="false">
      <c r="A117" s="9"/>
      <c r="B117" s="10"/>
      <c r="C117" s="9"/>
      <c r="D117" s="9"/>
      <c r="E117" s="9"/>
      <c r="F117" s="11"/>
      <c r="G117" s="11"/>
      <c r="H117" s="11"/>
      <c r="I117" s="9"/>
      <c r="J117" s="9"/>
      <c r="K117" s="9"/>
      <c r="L117" s="11"/>
      <c r="M117" s="11"/>
      <c r="N117" s="11"/>
      <c r="O117" s="9"/>
      <c r="P117" s="9"/>
      <c r="Q117" s="9"/>
      <c r="R117" s="11"/>
      <c r="S117" s="11"/>
      <c r="T117" s="11"/>
      <c r="U117" s="9"/>
      <c r="V117" s="9"/>
      <c r="W117" s="9"/>
    </row>
    <row r="118" customFormat="false" ht="15" hidden="false" customHeight="false" outlineLevel="0" collapsed="false">
      <c r="A118" s="9"/>
      <c r="B118" s="10"/>
      <c r="C118" s="9"/>
      <c r="D118" s="9"/>
      <c r="E118" s="9"/>
      <c r="F118" s="11"/>
      <c r="G118" s="11"/>
      <c r="H118" s="11"/>
      <c r="I118" s="9"/>
      <c r="J118" s="9"/>
      <c r="K118" s="9"/>
      <c r="L118" s="11"/>
      <c r="M118" s="11"/>
      <c r="N118" s="11"/>
      <c r="O118" s="9"/>
      <c r="P118" s="9"/>
      <c r="Q118" s="9"/>
      <c r="R118" s="11"/>
      <c r="S118" s="11"/>
      <c r="T118" s="11"/>
      <c r="U118" s="9"/>
      <c r="V118" s="9"/>
      <c r="W118" s="9"/>
    </row>
    <row r="119" customFormat="false" ht="15" hidden="false" customHeight="false" outlineLevel="0" collapsed="false">
      <c r="A119" s="9"/>
      <c r="B119" s="10"/>
      <c r="C119" s="9"/>
      <c r="D119" s="9"/>
      <c r="E119" s="9"/>
      <c r="F119" s="11"/>
      <c r="G119" s="11"/>
      <c r="H119" s="11"/>
      <c r="I119" s="9"/>
      <c r="J119" s="9"/>
      <c r="K119" s="9"/>
      <c r="L119" s="11"/>
      <c r="M119" s="11"/>
      <c r="N119" s="11"/>
      <c r="O119" s="9"/>
      <c r="P119" s="9"/>
      <c r="Q119" s="9"/>
      <c r="R119" s="11"/>
      <c r="S119" s="11"/>
      <c r="T119" s="11"/>
      <c r="U119" s="9"/>
      <c r="V119" s="9"/>
      <c r="W119" s="9"/>
    </row>
    <row r="120" customFormat="false" ht="15" hidden="false" customHeight="false" outlineLevel="0" collapsed="false">
      <c r="A120" s="9"/>
      <c r="B120" s="10"/>
      <c r="C120" s="9"/>
      <c r="D120" s="9"/>
      <c r="E120" s="9"/>
      <c r="F120" s="11"/>
      <c r="G120" s="11"/>
      <c r="H120" s="11"/>
      <c r="I120" s="9"/>
      <c r="J120" s="9"/>
      <c r="K120" s="9"/>
      <c r="L120" s="11"/>
      <c r="M120" s="11"/>
      <c r="N120" s="11"/>
      <c r="O120" s="9"/>
      <c r="P120" s="9"/>
      <c r="Q120" s="9"/>
      <c r="R120" s="11"/>
      <c r="S120" s="11"/>
      <c r="T120" s="11"/>
      <c r="U120" s="9"/>
      <c r="V120" s="9"/>
      <c r="W120" s="9"/>
    </row>
    <row r="121" customFormat="false" ht="15" hidden="false" customHeight="false" outlineLevel="0" collapsed="false">
      <c r="A121" s="9"/>
      <c r="B121" s="10"/>
      <c r="C121" s="9"/>
      <c r="D121" s="9"/>
      <c r="E121" s="9"/>
      <c r="F121" s="11"/>
      <c r="G121" s="11"/>
      <c r="H121" s="11"/>
      <c r="I121" s="9"/>
      <c r="J121" s="9"/>
      <c r="K121" s="9"/>
      <c r="L121" s="11"/>
      <c r="M121" s="11"/>
      <c r="N121" s="11"/>
      <c r="O121" s="9"/>
      <c r="P121" s="9"/>
      <c r="Q121" s="9"/>
      <c r="R121" s="11"/>
      <c r="S121" s="11"/>
      <c r="T121" s="11"/>
      <c r="U121" s="9"/>
      <c r="V121" s="9"/>
      <c r="W121" s="9"/>
    </row>
    <row r="122" customFormat="false" ht="15" hidden="false" customHeight="false" outlineLevel="0" collapsed="false">
      <c r="A122" s="9"/>
      <c r="B122" s="10"/>
      <c r="C122" s="9"/>
      <c r="D122" s="9"/>
      <c r="E122" s="9"/>
      <c r="F122" s="11"/>
      <c r="G122" s="11"/>
      <c r="H122" s="11"/>
      <c r="I122" s="9"/>
      <c r="J122" s="9"/>
      <c r="K122" s="9"/>
      <c r="L122" s="11"/>
      <c r="M122" s="11"/>
      <c r="N122" s="11"/>
      <c r="O122" s="9"/>
      <c r="P122" s="9"/>
      <c r="Q122" s="9"/>
      <c r="R122" s="11"/>
      <c r="S122" s="11"/>
      <c r="T122" s="11"/>
      <c r="U122" s="9"/>
      <c r="V122" s="9"/>
      <c r="W122" s="9"/>
    </row>
    <row r="123" customFormat="false" ht="15" hidden="false" customHeight="false" outlineLevel="0" collapsed="false">
      <c r="A123" s="9"/>
      <c r="B123" s="10"/>
      <c r="C123" s="9"/>
      <c r="D123" s="9"/>
      <c r="E123" s="9"/>
      <c r="F123" s="11"/>
      <c r="G123" s="11"/>
      <c r="H123" s="11"/>
      <c r="I123" s="9"/>
      <c r="J123" s="9"/>
      <c r="K123" s="9"/>
      <c r="L123" s="11"/>
      <c r="M123" s="11"/>
      <c r="N123" s="11"/>
      <c r="O123" s="9"/>
      <c r="P123" s="9"/>
      <c r="Q123" s="9"/>
      <c r="R123" s="11"/>
      <c r="S123" s="11"/>
      <c r="T123" s="11"/>
      <c r="U123" s="9"/>
      <c r="V123" s="9"/>
      <c r="W123" s="9"/>
    </row>
    <row r="124" customFormat="false" ht="15" hidden="false" customHeight="false" outlineLevel="0" collapsed="false">
      <c r="A124" s="9"/>
      <c r="B124" s="10"/>
      <c r="C124" s="9"/>
      <c r="D124" s="9"/>
      <c r="E124" s="9"/>
      <c r="F124" s="11"/>
      <c r="G124" s="11"/>
      <c r="H124" s="11"/>
      <c r="I124" s="9"/>
      <c r="J124" s="9"/>
      <c r="K124" s="9"/>
      <c r="L124" s="11"/>
      <c r="M124" s="11"/>
      <c r="N124" s="11"/>
      <c r="O124" s="9"/>
      <c r="P124" s="9"/>
      <c r="Q124" s="9"/>
      <c r="R124" s="11"/>
      <c r="S124" s="11"/>
      <c r="T124" s="11"/>
      <c r="U124" s="9"/>
      <c r="V124" s="9"/>
      <c r="W124" s="9"/>
    </row>
    <row r="125" customFormat="false" ht="15" hidden="false" customHeight="false" outlineLevel="0" collapsed="false">
      <c r="A125" s="9"/>
      <c r="B125" s="10"/>
      <c r="C125" s="9"/>
      <c r="D125" s="9"/>
      <c r="E125" s="9"/>
      <c r="F125" s="11"/>
      <c r="G125" s="11"/>
      <c r="H125" s="11"/>
      <c r="I125" s="9"/>
      <c r="J125" s="9"/>
      <c r="K125" s="9"/>
      <c r="L125" s="11"/>
      <c r="M125" s="11"/>
      <c r="N125" s="11"/>
      <c r="O125" s="9"/>
      <c r="P125" s="9"/>
      <c r="Q125" s="9"/>
      <c r="R125" s="11"/>
      <c r="S125" s="11"/>
      <c r="T125" s="11"/>
      <c r="U125" s="9"/>
      <c r="V125" s="9"/>
      <c r="W125" s="9"/>
    </row>
    <row r="126" customFormat="false" ht="15" hidden="false" customHeight="false" outlineLevel="0" collapsed="false">
      <c r="A126" s="9"/>
      <c r="B126" s="10"/>
      <c r="C126" s="9"/>
      <c r="D126" s="9"/>
      <c r="E126" s="9"/>
      <c r="F126" s="11"/>
      <c r="G126" s="11"/>
      <c r="H126" s="11"/>
      <c r="I126" s="9"/>
      <c r="J126" s="9"/>
      <c r="K126" s="9"/>
      <c r="L126" s="11"/>
      <c r="M126" s="11"/>
      <c r="N126" s="11"/>
      <c r="O126" s="9"/>
      <c r="P126" s="9"/>
      <c r="Q126" s="9"/>
      <c r="R126" s="11"/>
      <c r="S126" s="11"/>
      <c r="T126" s="11"/>
      <c r="U126" s="9"/>
      <c r="V126" s="9"/>
      <c r="W126" s="9"/>
    </row>
    <row r="127" customFormat="false" ht="15" hidden="false" customHeight="false" outlineLevel="0" collapsed="false">
      <c r="A127" s="9"/>
      <c r="B127" s="10"/>
      <c r="C127" s="9"/>
      <c r="D127" s="9"/>
      <c r="E127" s="9"/>
      <c r="F127" s="11"/>
      <c r="G127" s="11"/>
      <c r="H127" s="11"/>
      <c r="I127" s="9"/>
      <c r="J127" s="9"/>
      <c r="K127" s="9"/>
      <c r="L127" s="11"/>
      <c r="M127" s="11"/>
      <c r="N127" s="11"/>
      <c r="O127" s="9"/>
      <c r="P127" s="9"/>
      <c r="Q127" s="9"/>
      <c r="R127" s="11"/>
      <c r="S127" s="11"/>
      <c r="T127" s="11"/>
      <c r="U127" s="9"/>
      <c r="V127" s="9"/>
      <c r="W127" s="9"/>
    </row>
    <row r="128" customFormat="false" ht="15" hidden="false" customHeight="false" outlineLevel="0" collapsed="false">
      <c r="A128" s="9"/>
      <c r="B128" s="10"/>
      <c r="C128" s="9"/>
      <c r="D128" s="9"/>
      <c r="E128" s="9"/>
      <c r="F128" s="11"/>
      <c r="G128" s="11"/>
      <c r="H128" s="11"/>
      <c r="I128" s="9"/>
      <c r="J128" s="9"/>
      <c r="K128" s="9"/>
      <c r="L128" s="11"/>
      <c r="M128" s="11"/>
      <c r="N128" s="11"/>
      <c r="O128" s="9"/>
      <c r="P128" s="9"/>
      <c r="Q128" s="9"/>
      <c r="R128" s="11"/>
      <c r="S128" s="11"/>
      <c r="T128" s="11"/>
      <c r="U128" s="9"/>
      <c r="V128" s="9"/>
      <c r="W128" s="9"/>
    </row>
    <row r="129" customFormat="false" ht="15" hidden="false" customHeight="false" outlineLevel="0" collapsed="false">
      <c r="A129" s="9"/>
      <c r="B129" s="10"/>
      <c r="C129" s="9"/>
      <c r="D129" s="9"/>
      <c r="E129" s="9"/>
      <c r="F129" s="11"/>
      <c r="G129" s="11"/>
      <c r="H129" s="11"/>
      <c r="I129" s="9"/>
      <c r="J129" s="9"/>
      <c r="K129" s="9"/>
      <c r="L129" s="11"/>
      <c r="M129" s="11"/>
      <c r="N129" s="11"/>
      <c r="O129" s="9"/>
      <c r="P129" s="9"/>
      <c r="Q129" s="9"/>
      <c r="R129" s="11"/>
      <c r="S129" s="11"/>
      <c r="T129" s="11"/>
      <c r="U129" s="9"/>
      <c r="V129" s="9"/>
      <c r="W129" s="9"/>
    </row>
    <row r="130" customFormat="false" ht="15" hidden="false" customHeight="false" outlineLevel="0" collapsed="false">
      <c r="A130" s="9"/>
      <c r="B130" s="10"/>
      <c r="C130" s="9"/>
      <c r="D130" s="9"/>
      <c r="E130" s="9"/>
      <c r="F130" s="11"/>
      <c r="G130" s="11"/>
      <c r="H130" s="11"/>
      <c r="I130" s="9"/>
      <c r="J130" s="9"/>
      <c r="K130" s="9"/>
      <c r="L130" s="11"/>
      <c r="M130" s="11"/>
      <c r="N130" s="11"/>
      <c r="O130" s="9"/>
      <c r="P130" s="9"/>
      <c r="Q130" s="9"/>
      <c r="R130" s="11"/>
      <c r="S130" s="11"/>
      <c r="T130" s="11"/>
      <c r="U130" s="9"/>
      <c r="V130" s="9"/>
      <c r="W130" s="9"/>
    </row>
    <row r="131" customFormat="false" ht="15" hidden="false" customHeight="false" outlineLevel="0" collapsed="false">
      <c r="A131" s="9"/>
      <c r="B131" s="10"/>
      <c r="C131" s="9"/>
      <c r="D131" s="9"/>
      <c r="E131" s="9"/>
      <c r="F131" s="11"/>
      <c r="G131" s="11"/>
      <c r="H131" s="11"/>
      <c r="I131" s="9"/>
      <c r="J131" s="9"/>
      <c r="K131" s="9"/>
      <c r="L131" s="11"/>
      <c r="M131" s="11"/>
      <c r="N131" s="11"/>
      <c r="O131" s="9"/>
      <c r="P131" s="9"/>
      <c r="Q131" s="9"/>
      <c r="R131" s="11"/>
      <c r="S131" s="11"/>
      <c r="T131" s="11"/>
      <c r="U131" s="9"/>
      <c r="V131" s="9"/>
      <c r="W131" s="9"/>
    </row>
    <row r="132" customFormat="false" ht="15" hidden="false" customHeight="false" outlineLevel="0" collapsed="false">
      <c r="A132" s="9"/>
      <c r="B132" s="10"/>
      <c r="C132" s="9"/>
      <c r="D132" s="9"/>
      <c r="E132" s="9"/>
      <c r="F132" s="11"/>
      <c r="G132" s="11"/>
      <c r="H132" s="11"/>
      <c r="I132" s="9"/>
      <c r="J132" s="9"/>
      <c r="K132" s="9"/>
      <c r="L132" s="11"/>
      <c r="M132" s="11"/>
      <c r="N132" s="11"/>
      <c r="O132" s="9"/>
      <c r="P132" s="9"/>
      <c r="Q132" s="9"/>
      <c r="R132" s="11"/>
      <c r="S132" s="11"/>
      <c r="T132" s="11"/>
      <c r="U132" s="9"/>
      <c r="V132" s="9"/>
      <c r="W132" s="9"/>
    </row>
    <row r="133" customFormat="false" ht="15" hidden="false" customHeight="false" outlineLevel="0" collapsed="false">
      <c r="A133" s="9"/>
      <c r="B133" s="10"/>
      <c r="C133" s="9"/>
      <c r="D133" s="9"/>
      <c r="E133" s="9"/>
      <c r="F133" s="11"/>
      <c r="G133" s="11"/>
      <c r="H133" s="11"/>
      <c r="I133" s="9"/>
      <c r="J133" s="9"/>
      <c r="K133" s="9"/>
      <c r="L133" s="11"/>
      <c r="M133" s="11"/>
      <c r="N133" s="11"/>
      <c r="O133" s="9"/>
      <c r="P133" s="9"/>
      <c r="Q133" s="9"/>
      <c r="R133" s="11"/>
      <c r="S133" s="11"/>
      <c r="T133" s="11"/>
      <c r="U133" s="9"/>
      <c r="V133" s="9"/>
      <c r="W133" s="9"/>
    </row>
    <row r="134" customFormat="false" ht="15" hidden="false" customHeight="false" outlineLevel="0" collapsed="false">
      <c r="A134" s="9"/>
      <c r="B134" s="10"/>
      <c r="C134" s="9"/>
      <c r="D134" s="9"/>
      <c r="E134" s="9"/>
      <c r="F134" s="11"/>
      <c r="G134" s="11"/>
      <c r="H134" s="11"/>
      <c r="I134" s="9"/>
      <c r="J134" s="9"/>
      <c r="K134" s="9"/>
      <c r="L134" s="11"/>
      <c r="M134" s="11"/>
      <c r="N134" s="11"/>
      <c r="O134" s="9"/>
      <c r="P134" s="9"/>
      <c r="Q134" s="9"/>
      <c r="R134" s="11"/>
      <c r="S134" s="11"/>
      <c r="T134" s="11"/>
      <c r="U134" s="9"/>
      <c r="V134" s="9"/>
      <c r="W134" s="9"/>
    </row>
    <row r="135" customFormat="false" ht="15" hidden="false" customHeight="false" outlineLevel="0" collapsed="false">
      <c r="A135" s="9"/>
      <c r="B135" s="10"/>
      <c r="C135" s="9"/>
      <c r="D135" s="9"/>
      <c r="E135" s="9"/>
      <c r="F135" s="11"/>
      <c r="G135" s="11"/>
      <c r="H135" s="11"/>
      <c r="I135" s="9"/>
      <c r="J135" s="9"/>
      <c r="K135" s="9"/>
      <c r="L135" s="11"/>
      <c r="M135" s="11"/>
      <c r="N135" s="11"/>
      <c r="O135" s="9"/>
      <c r="P135" s="9"/>
      <c r="Q135" s="9"/>
      <c r="R135" s="11"/>
      <c r="S135" s="11"/>
      <c r="T135" s="11"/>
      <c r="U135" s="9"/>
      <c r="V135" s="9"/>
      <c r="W135" s="9"/>
    </row>
    <row r="136" customFormat="false" ht="15" hidden="false" customHeight="false" outlineLevel="0" collapsed="false">
      <c r="A136" s="9"/>
      <c r="B136" s="10"/>
      <c r="C136" s="9"/>
      <c r="D136" s="9"/>
      <c r="E136" s="9"/>
      <c r="F136" s="11"/>
      <c r="G136" s="11"/>
      <c r="H136" s="11"/>
      <c r="I136" s="9"/>
      <c r="J136" s="9"/>
      <c r="K136" s="9"/>
      <c r="L136" s="11"/>
      <c r="M136" s="11"/>
      <c r="N136" s="11"/>
      <c r="O136" s="9"/>
      <c r="P136" s="9"/>
      <c r="Q136" s="9"/>
      <c r="R136" s="11"/>
      <c r="S136" s="11"/>
      <c r="T136" s="11"/>
      <c r="U136" s="9"/>
      <c r="V136" s="9"/>
      <c r="W136" s="9"/>
    </row>
    <row r="137" customFormat="false" ht="15" hidden="false" customHeight="false" outlineLevel="0" collapsed="false">
      <c r="A137" s="9"/>
      <c r="B137" s="10"/>
      <c r="C137" s="9"/>
      <c r="D137" s="9"/>
      <c r="E137" s="9"/>
      <c r="F137" s="11"/>
      <c r="G137" s="11"/>
      <c r="H137" s="11"/>
      <c r="I137" s="9"/>
      <c r="J137" s="9"/>
      <c r="K137" s="9"/>
      <c r="L137" s="11"/>
      <c r="M137" s="11"/>
      <c r="N137" s="11"/>
      <c r="O137" s="9"/>
      <c r="P137" s="9"/>
      <c r="Q137" s="9"/>
      <c r="R137" s="11"/>
      <c r="S137" s="11"/>
      <c r="T137" s="11"/>
      <c r="U137" s="9"/>
      <c r="V137" s="9"/>
      <c r="W137" s="9"/>
    </row>
    <row r="138" customFormat="false" ht="15" hidden="false" customHeight="false" outlineLevel="0" collapsed="false">
      <c r="A138" s="9"/>
      <c r="B138" s="10"/>
      <c r="C138" s="9"/>
      <c r="D138" s="9"/>
      <c r="E138" s="9"/>
      <c r="F138" s="11"/>
      <c r="G138" s="11"/>
      <c r="H138" s="11"/>
      <c r="I138" s="9"/>
      <c r="J138" s="9"/>
      <c r="K138" s="9"/>
      <c r="L138" s="11"/>
      <c r="M138" s="11"/>
      <c r="N138" s="11"/>
      <c r="O138" s="9"/>
      <c r="P138" s="9"/>
      <c r="Q138" s="9"/>
      <c r="R138" s="11"/>
      <c r="S138" s="11"/>
      <c r="T138" s="11"/>
      <c r="U138" s="9"/>
      <c r="V138" s="9"/>
      <c r="W138" s="9"/>
    </row>
    <row r="139" customFormat="false" ht="15" hidden="false" customHeight="false" outlineLevel="0" collapsed="false">
      <c r="A139" s="9"/>
      <c r="B139" s="10"/>
      <c r="C139" s="9"/>
      <c r="D139" s="9"/>
      <c r="E139" s="9"/>
      <c r="F139" s="11"/>
      <c r="G139" s="11"/>
      <c r="H139" s="11"/>
      <c r="I139" s="9"/>
      <c r="J139" s="9"/>
      <c r="K139" s="9"/>
      <c r="L139" s="11"/>
      <c r="M139" s="11"/>
      <c r="N139" s="11"/>
      <c r="O139" s="9"/>
      <c r="P139" s="9"/>
      <c r="Q139" s="9"/>
      <c r="R139" s="11"/>
      <c r="S139" s="11"/>
      <c r="T139" s="11"/>
      <c r="U139" s="9"/>
      <c r="V139" s="9"/>
      <c r="W139" s="9"/>
    </row>
    <row r="140" customFormat="false" ht="15" hidden="false" customHeight="false" outlineLevel="0" collapsed="false">
      <c r="A140" s="9"/>
      <c r="B140" s="10"/>
      <c r="C140" s="9"/>
      <c r="D140" s="9"/>
      <c r="E140" s="9"/>
      <c r="F140" s="11"/>
      <c r="G140" s="11"/>
      <c r="H140" s="11"/>
      <c r="I140" s="9"/>
      <c r="J140" s="9"/>
      <c r="K140" s="9"/>
      <c r="L140" s="11"/>
      <c r="M140" s="11"/>
      <c r="N140" s="11"/>
      <c r="O140" s="9"/>
      <c r="P140" s="9"/>
      <c r="Q140" s="9"/>
      <c r="R140" s="11"/>
      <c r="S140" s="11"/>
      <c r="T140" s="11"/>
      <c r="U140" s="9"/>
      <c r="V140" s="9"/>
      <c r="W140" s="9"/>
    </row>
    <row r="141" customFormat="false" ht="15" hidden="false" customHeight="false" outlineLevel="0" collapsed="false">
      <c r="A141" s="9"/>
      <c r="B141" s="10"/>
      <c r="C141" s="9"/>
      <c r="D141" s="9"/>
      <c r="E141" s="9"/>
      <c r="F141" s="11"/>
      <c r="G141" s="11"/>
      <c r="H141" s="11"/>
      <c r="I141" s="9"/>
      <c r="J141" s="9"/>
      <c r="K141" s="9"/>
      <c r="L141" s="11"/>
      <c r="M141" s="11"/>
      <c r="N141" s="11"/>
      <c r="O141" s="9"/>
      <c r="P141" s="9"/>
      <c r="Q141" s="9"/>
      <c r="R141" s="11"/>
      <c r="S141" s="11"/>
      <c r="T141" s="11"/>
      <c r="U141" s="9"/>
      <c r="V141" s="9"/>
      <c r="W141" s="9"/>
    </row>
    <row r="142" customFormat="false" ht="15" hidden="false" customHeight="false" outlineLevel="0" collapsed="false">
      <c r="A142" s="9"/>
      <c r="B142" s="10"/>
      <c r="C142" s="9"/>
      <c r="D142" s="9"/>
      <c r="E142" s="9"/>
      <c r="F142" s="11"/>
      <c r="G142" s="11"/>
      <c r="H142" s="11"/>
      <c r="I142" s="9"/>
      <c r="J142" s="9"/>
      <c r="K142" s="9"/>
      <c r="L142" s="11"/>
      <c r="M142" s="11"/>
      <c r="N142" s="11"/>
      <c r="O142" s="9"/>
      <c r="P142" s="9"/>
      <c r="Q142" s="9"/>
      <c r="R142" s="11"/>
      <c r="S142" s="11"/>
      <c r="T142" s="11"/>
      <c r="U142" s="9"/>
      <c r="V142" s="9"/>
      <c r="W142" s="9"/>
    </row>
    <row r="143" customFormat="false" ht="15" hidden="false" customHeight="false" outlineLevel="0" collapsed="false">
      <c r="A143" s="9"/>
      <c r="B143" s="10"/>
      <c r="C143" s="9"/>
      <c r="D143" s="9"/>
      <c r="E143" s="9"/>
      <c r="F143" s="11"/>
      <c r="G143" s="11"/>
      <c r="H143" s="11"/>
      <c r="I143" s="9"/>
      <c r="J143" s="9"/>
      <c r="K143" s="9"/>
      <c r="L143" s="11"/>
      <c r="M143" s="11"/>
      <c r="N143" s="11"/>
      <c r="O143" s="9"/>
      <c r="P143" s="9"/>
      <c r="Q143" s="9"/>
      <c r="R143" s="11"/>
      <c r="S143" s="11"/>
      <c r="T143" s="11"/>
      <c r="U143" s="9"/>
      <c r="V143" s="9"/>
      <c r="W143" s="9"/>
    </row>
    <row r="144" customFormat="false" ht="15" hidden="false" customHeight="false" outlineLevel="0" collapsed="false">
      <c r="A144" s="9"/>
      <c r="B144" s="10"/>
      <c r="C144" s="9"/>
      <c r="D144" s="9"/>
      <c r="E144" s="9"/>
      <c r="F144" s="11"/>
      <c r="G144" s="11"/>
      <c r="H144" s="11"/>
      <c r="I144" s="9"/>
      <c r="J144" s="9"/>
      <c r="K144" s="9"/>
      <c r="L144" s="11"/>
      <c r="M144" s="11"/>
      <c r="N144" s="11"/>
      <c r="O144" s="9"/>
      <c r="P144" s="9"/>
      <c r="Q144" s="9"/>
      <c r="R144" s="11"/>
      <c r="S144" s="11"/>
      <c r="T144" s="11"/>
      <c r="U144" s="9"/>
      <c r="V144" s="9"/>
      <c r="W144" s="9"/>
    </row>
    <row r="145" customFormat="false" ht="15" hidden="false" customHeight="false" outlineLevel="0" collapsed="false">
      <c r="A145" s="9"/>
      <c r="B145" s="10"/>
      <c r="C145" s="9"/>
      <c r="D145" s="9"/>
      <c r="E145" s="9"/>
      <c r="F145" s="11"/>
      <c r="G145" s="11"/>
      <c r="H145" s="11"/>
      <c r="I145" s="9"/>
      <c r="J145" s="9"/>
      <c r="K145" s="9"/>
      <c r="L145" s="11"/>
      <c r="M145" s="11"/>
      <c r="N145" s="11"/>
      <c r="O145" s="9"/>
      <c r="P145" s="9"/>
      <c r="Q145" s="9"/>
      <c r="R145" s="11"/>
      <c r="S145" s="11"/>
      <c r="T145" s="11"/>
      <c r="U145" s="9"/>
      <c r="V145" s="9"/>
      <c r="W145" s="9"/>
    </row>
    <row r="146" customFormat="false" ht="15" hidden="false" customHeight="false" outlineLevel="0" collapsed="false">
      <c r="A146" s="9"/>
      <c r="B146" s="10"/>
      <c r="C146" s="9"/>
      <c r="D146" s="9"/>
      <c r="E146" s="9"/>
      <c r="F146" s="11"/>
      <c r="G146" s="11"/>
      <c r="H146" s="11"/>
      <c r="I146" s="9"/>
      <c r="J146" s="9"/>
      <c r="K146" s="9"/>
      <c r="L146" s="11"/>
      <c r="M146" s="11"/>
      <c r="N146" s="11"/>
      <c r="O146" s="9"/>
      <c r="P146" s="9"/>
      <c r="Q146" s="9"/>
      <c r="R146" s="11"/>
      <c r="S146" s="11"/>
      <c r="T146" s="11"/>
      <c r="U146" s="9"/>
      <c r="V146" s="9"/>
      <c r="W146" s="9"/>
    </row>
    <row r="147" customFormat="false" ht="15" hidden="false" customHeight="false" outlineLevel="0" collapsed="false">
      <c r="A147" s="9"/>
      <c r="B147" s="10"/>
      <c r="C147" s="9"/>
      <c r="D147" s="9"/>
      <c r="E147" s="9"/>
      <c r="F147" s="11"/>
      <c r="G147" s="11"/>
      <c r="H147" s="11"/>
      <c r="I147" s="9"/>
      <c r="J147" s="9"/>
      <c r="K147" s="9"/>
      <c r="L147" s="11"/>
      <c r="M147" s="11"/>
      <c r="N147" s="11"/>
      <c r="O147" s="9"/>
      <c r="P147" s="9"/>
      <c r="Q147" s="9"/>
      <c r="R147" s="11"/>
      <c r="S147" s="11"/>
      <c r="T147" s="11"/>
      <c r="U147" s="9"/>
      <c r="V147" s="9"/>
      <c r="W147" s="9"/>
    </row>
    <row r="148" customFormat="false" ht="15" hidden="false" customHeight="false" outlineLevel="0" collapsed="false">
      <c r="A148" s="9"/>
      <c r="B148" s="10"/>
      <c r="C148" s="9"/>
      <c r="D148" s="9"/>
      <c r="E148" s="9"/>
      <c r="F148" s="11"/>
      <c r="G148" s="11"/>
      <c r="H148" s="11"/>
      <c r="I148" s="9"/>
      <c r="J148" s="9"/>
      <c r="K148" s="9"/>
      <c r="L148" s="11"/>
      <c r="M148" s="11"/>
      <c r="N148" s="11"/>
      <c r="O148" s="9"/>
      <c r="P148" s="9"/>
      <c r="Q148" s="9"/>
      <c r="R148" s="11"/>
      <c r="S148" s="11"/>
      <c r="T148" s="11"/>
      <c r="U148" s="9"/>
      <c r="V148" s="9"/>
      <c r="W148" s="9"/>
    </row>
    <row r="149" customFormat="false" ht="15" hidden="false" customHeight="false" outlineLevel="0" collapsed="false">
      <c r="A149" s="9"/>
      <c r="B149" s="10"/>
      <c r="C149" s="9"/>
      <c r="D149" s="9"/>
      <c r="E149" s="9"/>
      <c r="F149" s="11"/>
      <c r="G149" s="11"/>
      <c r="H149" s="11"/>
      <c r="I149" s="9"/>
      <c r="J149" s="9"/>
      <c r="K149" s="9"/>
      <c r="L149" s="11"/>
      <c r="M149" s="11"/>
      <c r="N149" s="11"/>
      <c r="O149" s="9"/>
      <c r="P149" s="9"/>
      <c r="Q149" s="9"/>
      <c r="R149" s="11"/>
      <c r="S149" s="11"/>
      <c r="T149" s="11"/>
      <c r="U149" s="9"/>
      <c r="V149" s="9"/>
      <c r="W149" s="9"/>
    </row>
    <row r="150" customFormat="false" ht="15" hidden="false" customHeight="false" outlineLevel="0" collapsed="false">
      <c r="A150" s="9"/>
      <c r="B150" s="10"/>
      <c r="C150" s="9"/>
      <c r="D150" s="9"/>
      <c r="E150" s="9"/>
      <c r="F150" s="11"/>
      <c r="G150" s="11"/>
      <c r="H150" s="11"/>
      <c r="I150" s="9"/>
      <c r="J150" s="9"/>
      <c r="K150" s="9"/>
      <c r="L150" s="11"/>
      <c r="M150" s="11"/>
      <c r="N150" s="11"/>
      <c r="O150" s="9"/>
      <c r="P150" s="9"/>
      <c r="Q150" s="9"/>
      <c r="R150" s="11"/>
      <c r="S150" s="11"/>
      <c r="T150" s="11"/>
      <c r="U150" s="9"/>
      <c r="V150" s="9"/>
      <c r="W150" s="9"/>
    </row>
    <row r="151" customFormat="false" ht="15" hidden="false" customHeight="false" outlineLevel="0" collapsed="false">
      <c r="A151" s="9"/>
      <c r="B151" s="10"/>
      <c r="C151" s="9"/>
      <c r="D151" s="9"/>
      <c r="E151" s="9"/>
      <c r="F151" s="11"/>
      <c r="G151" s="11"/>
      <c r="H151" s="11"/>
      <c r="I151" s="9"/>
      <c r="J151" s="9"/>
      <c r="K151" s="9"/>
      <c r="L151" s="11"/>
      <c r="M151" s="11"/>
      <c r="N151" s="11"/>
      <c r="O151" s="9"/>
      <c r="P151" s="9"/>
      <c r="Q151" s="9"/>
      <c r="R151" s="11"/>
      <c r="S151" s="11"/>
      <c r="T151" s="11"/>
      <c r="U151" s="9"/>
      <c r="V151" s="9"/>
      <c r="W151" s="9"/>
    </row>
    <row r="152" customFormat="false" ht="15" hidden="false" customHeight="false" outlineLevel="0" collapsed="false">
      <c r="A152" s="9"/>
      <c r="B152" s="10"/>
      <c r="C152" s="9"/>
      <c r="D152" s="9"/>
      <c r="E152" s="9"/>
      <c r="F152" s="11"/>
      <c r="G152" s="11"/>
      <c r="H152" s="11"/>
      <c r="I152" s="9"/>
      <c r="J152" s="9"/>
      <c r="K152" s="9"/>
      <c r="L152" s="11"/>
      <c r="M152" s="11"/>
      <c r="N152" s="11"/>
      <c r="O152" s="9"/>
      <c r="P152" s="9"/>
      <c r="Q152" s="9"/>
      <c r="R152" s="11"/>
      <c r="S152" s="11"/>
      <c r="T152" s="11"/>
      <c r="U152" s="9"/>
      <c r="V152" s="9"/>
      <c r="W152" s="9"/>
    </row>
    <row r="153" customFormat="false" ht="15" hidden="false" customHeight="false" outlineLevel="0" collapsed="false">
      <c r="A153" s="9"/>
      <c r="B153" s="10"/>
      <c r="C153" s="9"/>
      <c r="D153" s="9"/>
      <c r="E153" s="9"/>
      <c r="F153" s="11"/>
      <c r="G153" s="11"/>
      <c r="H153" s="11"/>
      <c r="I153" s="9"/>
      <c r="J153" s="9"/>
      <c r="K153" s="9"/>
      <c r="L153" s="11"/>
      <c r="M153" s="11"/>
      <c r="N153" s="11"/>
      <c r="O153" s="9"/>
      <c r="P153" s="9"/>
      <c r="Q153" s="9"/>
      <c r="R153" s="11"/>
      <c r="S153" s="11"/>
      <c r="T153" s="11"/>
      <c r="U153" s="9"/>
      <c r="V153" s="9"/>
      <c r="W153" s="9"/>
    </row>
    <row r="154" customFormat="false" ht="15" hidden="false" customHeight="false" outlineLevel="0" collapsed="false">
      <c r="A154" s="9"/>
      <c r="B154" s="10"/>
      <c r="C154" s="9"/>
      <c r="D154" s="9"/>
      <c r="E154" s="9"/>
      <c r="F154" s="11"/>
      <c r="G154" s="11"/>
      <c r="H154" s="11"/>
      <c r="I154" s="9"/>
      <c r="J154" s="9"/>
      <c r="K154" s="9"/>
      <c r="L154" s="11"/>
      <c r="M154" s="11"/>
      <c r="N154" s="11"/>
      <c r="O154" s="9"/>
      <c r="P154" s="9"/>
      <c r="Q154" s="9"/>
      <c r="R154" s="11"/>
      <c r="S154" s="11"/>
      <c r="T154" s="11"/>
      <c r="U154" s="9"/>
      <c r="V154" s="9"/>
      <c r="W154" s="9"/>
    </row>
    <row r="155" customFormat="false" ht="15" hidden="false" customHeight="false" outlineLevel="0" collapsed="false">
      <c r="A155" s="9"/>
      <c r="B155" s="10"/>
      <c r="C155" s="9"/>
      <c r="D155" s="9"/>
      <c r="E155" s="9"/>
      <c r="F155" s="11"/>
      <c r="G155" s="11"/>
      <c r="H155" s="11"/>
      <c r="I155" s="9"/>
      <c r="J155" s="9"/>
      <c r="K155" s="9"/>
      <c r="L155" s="11"/>
      <c r="M155" s="11"/>
      <c r="N155" s="11"/>
      <c r="O155" s="9"/>
      <c r="P155" s="9"/>
      <c r="Q155" s="9"/>
      <c r="R155" s="11"/>
      <c r="S155" s="11"/>
      <c r="T155" s="11"/>
      <c r="U155" s="9"/>
      <c r="V155" s="9"/>
      <c r="W155" s="9"/>
    </row>
    <row r="156" customFormat="false" ht="15" hidden="false" customHeight="false" outlineLevel="0" collapsed="false">
      <c r="A156" s="9"/>
      <c r="B156" s="10"/>
      <c r="C156" s="9"/>
      <c r="D156" s="9"/>
      <c r="E156" s="9"/>
      <c r="F156" s="11"/>
      <c r="G156" s="11"/>
      <c r="H156" s="11"/>
      <c r="I156" s="9"/>
      <c r="J156" s="9"/>
      <c r="K156" s="9"/>
      <c r="L156" s="11"/>
      <c r="M156" s="11"/>
      <c r="N156" s="11"/>
      <c r="O156" s="9"/>
      <c r="P156" s="9"/>
      <c r="Q156" s="9"/>
      <c r="R156" s="11"/>
      <c r="S156" s="11"/>
      <c r="T156" s="11"/>
      <c r="U156" s="9"/>
      <c r="V156" s="9"/>
      <c r="W156" s="9"/>
    </row>
    <row r="157" customFormat="false" ht="15" hidden="false" customHeight="false" outlineLevel="0" collapsed="false">
      <c r="A157" s="9"/>
      <c r="B157" s="10"/>
      <c r="C157" s="9"/>
      <c r="D157" s="9"/>
      <c r="E157" s="9"/>
      <c r="F157" s="11"/>
      <c r="G157" s="11"/>
      <c r="H157" s="11"/>
      <c r="I157" s="9"/>
      <c r="J157" s="9"/>
      <c r="K157" s="9"/>
      <c r="L157" s="11"/>
      <c r="M157" s="11"/>
      <c r="N157" s="11"/>
      <c r="O157" s="9"/>
      <c r="P157" s="9"/>
      <c r="Q157" s="9"/>
      <c r="R157" s="11"/>
      <c r="S157" s="11"/>
      <c r="T157" s="11"/>
      <c r="U157" s="9"/>
      <c r="V157" s="9"/>
      <c r="W157" s="9"/>
    </row>
    <row r="158" customFormat="false" ht="15" hidden="false" customHeight="false" outlineLevel="0" collapsed="false">
      <c r="A158" s="9"/>
      <c r="B158" s="10"/>
      <c r="C158" s="9"/>
      <c r="D158" s="9"/>
      <c r="E158" s="9"/>
      <c r="F158" s="11"/>
      <c r="G158" s="11"/>
      <c r="H158" s="11"/>
      <c r="I158" s="9"/>
      <c r="J158" s="9"/>
      <c r="K158" s="9"/>
      <c r="L158" s="11"/>
      <c r="M158" s="11"/>
      <c r="N158" s="11"/>
      <c r="O158" s="9"/>
      <c r="P158" s="9"/>
      <c r="Q158" s="9"/>
      <c r="R158" s="11"/>
      <c r="S158" s="11"/>
      <c r="T158" s="11"/>
      <c r="U158" s="9"/>
      <c r="V158" s="9"/>
      <c r="W158" s="9"/>
    </row>
    <row r="159" customFormat="false" ht="15" hidden="false" customHeight="false" outlineLevel="0" collapsed="false">
      <c r="A159" s="9"/>
      <c r="B159" s="10"/>
      <c r="C159" s="9"/>
      <c r="D159" s="9"/>
      <c r="E159" s="9"/>
      <c r="F159" s="11"/>
      <c r="G159" s="11"/>
      <c r="H159" s="11"/>
      <c r="I159" s="9"/>
      <c r="J159" s="9"/>
      <c r="K159" s="9"/>
      <c r="L159" s="11"/>
      <c r="M159" s="11"/>
      <c r="N159" s="11"/>
      <c r="O159" s="9"/>
      <c r="P159" s="9"/>
      <c r="Q159" s="9"/>
      <c r="R159" s="11"/>
      <c r="S159" s="11"/>
      <c r="T159" s="11"/>
      <c r="U159" s="9"/>
      <c r="V159" s="9"/>
      <c r="W159" s="9"/>
    </row>
    <row r="160" customFormat="false" ht="15" hidden="false" customHeight="false" outlineLevel="0" collapsed="false">
      <c r="A160" s="9"/>
      <c r="B160" s="10"/>
      <c r="C160" s="9"/>
      <c r="D160" s="9"/>
      <c r="E160" s="9"/>
      <c r="F160" s="11"/>
      <c r="G160" s="11"/>
      <c r="H160" s="11"/>
      <c r="I160" s="9"/>
      <c r="J160" s="9"/>
      <c r="K160" s="9"/>
      <c r="L160" s="11"/>
      <c r="M160" s="11"/>
      <c r="N160" s="11"/>
      <c r="O160" s="9"/>
      <c r="P160" s="9"/>
      <c r="Q160" s="9"/>
      <c r="R160" s="11"/>
      <c r="S160" s="11"/>
      <c r="T160" s="11"/>
      <c r="U160" s="9"/>
      <c r="V160" s="9"/>
      <c r="W160" s="9"/>
    </row>
    <row r="161" customFormat="false" ht="15" hidden="false" customHeight="false" outlineLevel="0" collapsed="false">
      <c r="A161" s="9"/>
      <c r="B161" s="10"/>
      <c r="C161" s="9"/>
      <c r="D161" s="9"/>
      <c r="E161" s="9"/>
      <c r="F161" s="11"/>
      <c r="G161" s="11"/>
      <c r="H161" s="11"/>
      <c r="I161" s="9"/>
      <c r="J161" s="9"/>
      <c r="K161" s="9"/>
      <c r="L161" s="11"/>
      <c r="M161" s="11"/>
      <c r="N161" s="11"/>
      <c r="O161" s="9"/>
      <c r="P161" s="9"/>
      <c r="Q161" s="9"/>
      <c r="R161" s="11"/>
      <c r="S161" s="11"/>
      <c r="T161" s="11"/>
      <c r="U161" s="9"/>
      <c r="V161" s="9"/>
      <c r="W161" s="9"/>
    </row>
    <row r="162" customFormat="false" ht="15" hidden="false" customHeight="false" outlineLevel="0" collapsed="false">
      <c r="A162" s="9"/>
      <c r="B162" s="10"/>
      <c r="C162" s="9"/>
      <c r="D162" s="9"/>
      <c r="E162" s="9"/>
      <c r="F162" s="11"/>
      <c r="G162" s="11"/>
      <c r="H162" s="11"/>
      <c r="I162" s="9"/>
      <c r="J162" s="9"/>
      <c r="K162" s="9"/>
      <c r="L162" s="11"/>
      <c r="M162" s="11"/>
      <c r="N162" s="11"/>
      <c r="O162" s="9"/>
      <c r="P162" s="9"/>
      <c r="Q162" s="9"/>
      <c r="R162" s="11"/>
      <c r="S162" s="11"/>
      <c r="T162" s="11"/>
      <c r="U162" s="9"/>
      <c r="V162" s="9"/>
      <c r="W162" s="9"/>
    </row>
    <row r="163" customFormat="false" ht="15" hidden="false" customHeight="false" outlineLevel="0" collapsed="false">
      <c r="A163" s="9"/>
      <c r="B163" s="10"/>
      <c r="C163" s="9"/>
      <c r="D163" s="9"/>
      <c r="E163" s="9"/>
      <c r="F163" s="11"/>
      <c r="G163" s="11"/>
      <c r="H163" s="11"/>
      <c r="I163" s="9"/>
      <c r="J163" s="9"/>
      <c r="K163" s="9"/>
      <c r="L163" s="11"/>
      <c r="M163" s="11"/>
      <c r="N163" s="11"/>
      <c r="O163" s="9"/>
      <c r="P163" s="9"/>
      <c r="Q163" s="9"/>
      <c r="R163" s="11"/>
      <c r="S163" s="11"/>
      <c r="T163" s="11"/>
      <c r="U163" s="9"/>
      <c r="V163" s="9"/>
      <c r="W163" s="9"/>
    </row>
    <row r="164" customFormat="false" ht="15" hidden="false" customHeight="false" outlineLevel="0" collapsed="false">
      <c r="A164" s="9"/>
      <c r="B164" s="10"/>
      <c r="C164" s="9"/>
      <c r="D164" s="9"/>
      <c r="E164" s="9"/>
      <c r="F164" s="11"/>
      <c r="G164" s="11"/>
      <c r="H164" s="11"/>
      <c r="I164" s="9"/>
      <c r="J164" s="9"/>
      <c r="K164" s="9"/>
      <c r="L164" s="11"/>
      <c r="M164" s="11"/>
      <c r="N164" s="11"/>
      <c r="O164" s="9"/>
      <c r="P164" s="9"/>
      <c r="Q164" s="9"/>
      <c r="R164" s="11"/>
      <c r="S164" s="11"/>
      <c r="T164" s="11"/>
      <c r="U164" s="9"/>
      <c r="V164" s="9"/>
      <c r="W164" s="9"/>
    </row>
    <row r="165" customFormat="false" ht="15" hidden="false" customHeight="false" outlineLevel="0" collapsed="false">
      <c r="A165" s="9"/>
      <c r="B165" s="10"/>
      <c r="C165" s="9"/>
      <c r="D165" s="9"/>
      <c r="E165" s="9"/>
      <c r="F165" s="11"/>
      <c r="G165" s="11"/>
      <c r="H165" s="11"/>
      <c r="I165" s="9"/>
      <c r="J165" s="9"/>
      <c r="K165" s="9"/>
      <c r="L165" s="11"/>
      <c r="M165" s="11"/>
      <c r="N165" s="11"/>
      <c r="O165" s="9"/>
      <c r="P165" s="9"/>
      <c r="Q165" s="9"/>
      <c r="R165" s="11"/>
      <c r="S165" s="11"/>
      <c r="T165" s="11"/>
      <c r="U165" s="9"/>
      <c r="V165" s="9"/>
      <c r="W165" s="9"/>
    </row>
    <row r="166" customFormat="false" ht="15" hidden="false" customHeight="false" outlineLevel="0" collapsed="false">
      <c r="A166" s="9"/>
      <c r="B166" s="10"/>
      <c r="C166" s="9"/>
      <c r="D166" s="9"/>
      <c r="E166" s="9"/>
      <c r="F166" s="11"/>
      <c r="G166" s="11"/>
      <c r="H166" s="11"/>
      <c r="I166" s="9"/>
      <c r="J166" s="9"/>
      <c r="K166" s="9"/>
      <c r="L166" s="11"/>
      <c r="M166" s="11"/>
      <c r="N166" s="11"/>
      <c r="O166" s="9"/>
      <c r="P166" s="9"/>
      <c r="Q166" s="9"/>
      <c r="R166" s="11"/>
      <c r="S166" s="11"/>
      <c r="T166" s="11"/>
      <c r="U166" s="9"/>
      <c r="V166" s="9"/>
      <c r="W166" s="9"/>
    </row>
    <row r="167" customFormat="false" ht="15" hidden="false" customHeight="false" outlineLevel="0" collapsed="false">
      <c r="A167" s="9"/>
      <c r="B167" s="10"/>
      <c r="C167" s="9"/>
      <c r="D167" s="9"/>
      <c r="E167" s="9"/>
      <c r="F167" s="11"/>
      <c r="G167" s="11"/>
      <c r="H167" s="11"/>
      <c r="I167" s="9"/>
      <c r="J167" s="9"/>
      <c r="K167" s="9"/>
      <c r="L167" s="11"/>
      <c r="M167" s="11"/>
      <c r="N167" s="11"/>
      <c r="O167" s="9"/>
      <c r="P167" s="9"/>
      <c r="Q167" s="9"/>
      <c r="R167" s="11"/>
      <c r="S167" s="11"/>
      <c r="T167" s="11"/>
      <c r="U167" s="9"/>
      <c r="V167" s="9"/>
      <c r="W167" s="9"/>
    </row>
    <row r="168" customFormat="false" ht="15" hidden="false" customHeight="false" outlineLevel="0" collapsed="false">
      <c r="A168" s="9"/>
      <c r="B168" s="10"/>
      <c r="C168" s="9"/>
      <c r="D168" s="9"/>
      <c r="E168" s="9"/>
      <c r="F168" s="11"/>
      <c r="G168" s="11"/>
      <c r="H168" s="11"/>
      <c r="I168" s="9"/>
      <c r="J168" s="9"/>
      <c r="K168" s="9"/>
      <c r="L168" s="11"/>
      <c r="M168" s="11"/>
      <c r="N168" s="11"/>
      <c r="O168" s="9"/>
      <c r="P168" s="9"/>
      <c r="Q168" s="9"/>
      <c r="R168" s="11"/>
      <c r="S168" s="11"/>
      <c r="T168" s="11"/>
      <c r="U168" s="9"/>
      <c r="V168" s="9"/>
      <c r="W168" s="9"/>
    </row>
    <row r="169" customFormat="false" ht="15" hidden="false" customHeight="false" outlineLevel="0" collapsed="false">
      <c r="A169" s="9"/>
      <c r="B169" s="10"/>
      <c r="C169" s="9"/>
      <c r="D169" s="9"/>
      <c r="E169" s="9"/>
      <c r="F169" s="11"/>
      <c r="G169" s="11"/>
      <c r="H169" s="11"/>
      <c r="I169" s="9"/>
      <c r="J169" s="9"/>
      <c r="K169" s="9"/>
      <c r="L169" s="11"/>
      <c r="M169" s="11"/>
      <c r="N169" s="11"/>
      <c r="O169" s="9"/>
      <c r="P169" s="9"/>
      <c r="Q169" s="9"/>
      <c r="R169" s="11"/>
      <c r="S169" s="11"/>
      <c r="T169" s="11"/>
      <c r="U169" s="9"/>
      <c r="V169" s="9"/>
      <c r="W169" s="9"/>
    </row>
    <row r="170" customFormat="false" ht="15" hidden="false" customHeight="false" outlineLevel="0" collapsed="false">
      <c r="A170" s="9"/>
      <c r="B170" s="10"/>
      <c r="C170" s="9"/>
      <c r="D170" s="9"/>
      <c r="E170" s="9"/>
      <c r="F170" s="11"/>
      <c r="G170" s="11"/>
      <c r="H170" s="11"/>
      <c r="I170" s="9"/>
      <c r="J170" s="9"/>
      <c r="K170" s="9"/>
      <c r="L170" s="11"/>
      <c r="M170" s="11"/>
      <c r="N170" s="11"/>
      <c r="O170" s="9"/>
      <c r="P170" s="9"/>
      <c r="Q170" s="9"/>
      <c r="R170" s="11"/>
      <c r="S170" s="11"/>
      <c r="T170" s="11"/>
      <c r="U170" s="9"/>
      <c r="V170" s="9"/>
      <c r="W170" s="9"/>
    </row>
    <row r="171" customFormat="false" ht="15" hidden="false" customHeight="false" outlineLevel="0" collapsed="false">
      <c r="A171" s="9"/>
      <c r="B171" s="10"/>
      <c r="C171" s="9"/>
      <c r="D171" s="9"/>
      <c r="E171" s="9"/>
      <c r="F171" s="11"/>
      <c r="G171" s="11"/>
      <c r="H171" s="11"/>
      <c r="I171" s="9"/>
      <c r="J171" s="9"/>
      <c r="K171" s="9"/>
      <c r="L171" s="11"/>
      <c r="M171" s="11"/>
      <c r="N171" s="11"/>
      <c r="O171" s="9"/>
      <c r="P171" s="9"/>
      <c r="Q171" s="9"/>
      <c r="R171" s="11"/>
      <c r="S171" s="11"/>
      <c r="T171" s="11"/>
      <c r="U171" s="9"/>
      <c r="V171" s="9"/>
      <c r="W171" s="9"/>
    </row>
    <row r="172" customFormat="false" ht="15" hidden="false" customHeight="false" outlineLevel="0" collapsed="false">
      <c r="A172" s="9"/>
      <c r="B172" s="10"/>
      <c r="C172" s="9"/>
      <c r="D172" s="9"/>
      <c r="E172" s="9"/>
      <c r="F172" s="11"/>
      <c r="G172" s="11"/>
      <c r="H172" s="11"/>
      <c r="I172" s="9"/>
      <c r="J172" s="9"/>
      <c r="K172" s="9"/>
      <c r="L172" s="11"/>
      <c r="M172" s="11"/>
      <c r="N172" s="11"/>
      <c r="O172" s="9"/>
      <c r="P172" s="9"/>
      <c r="Q172" s="9"/>
      <c r="R172" s="11"/>
      <c r="S172" s="11"/>
      <c r="T172" s="11"/>
      <c r="U172" s="9"/>
      <c r="V172" s="9"/>
      <c r="W172" s="9"/>
    </row>
    <row r="173" customFormat="false" ht="15" hidden="false" customHeight="false" outlineLevel="0" collapsed="false">
      <c r="A173" s="9"/>
      <c r="B173" s="10"/>
      <c r="C173" s="9"/>
      <c r="D173" s="9"/>
      <c r="E173" s="9"/>
      <c r="F173" s="11"/>
      <c r="G173" s="11"/>
      <c r="H173" s="11"/>
      <c r="I173" s="9"/>
      <c r="J173" s="9"/>
      <c r="K173" s="9"/>
      <c r="L173" s="11"/>
      <c r="M173" s="11"/>
      <c r="N173" s="11"/>
      <c r="O173" s="9"/>
      <c r="P173" s="9"/>
      <c r="Q173" s="9"/>
      <c r="R173" s="11"/>
      <c r="S173" s="11"/>
      <c r="T173" s="11"/>
      <c r="U173" s="9"/>
      <c r="V173" s="9"/>
      <c r="W173" s="9"/>
    </row>
    <row r="174" customFormat="false" ht="15" hidden="false" customHeight="false" outlineLevel="0" collapsed="false">
      <c r="A174" s="9"/>
      <c r="B174" s="10"/>
      <c r="C174" s="9"/>
      <c r="D174" s="9"/>
      <c r="E174" s="9"/>
      <c r="F174" s="11"/>
      <c r="G174" s="11"/>
      <c r="H174" s="11"/>
      <c r="I174" s="9"/>
      <c r="J174" s="9"/>
      <c r="K174" s="9"/>
      <c r="L174" s="11"/>
      <c r="M174" s="11"/>
      <c r="N174" s="11"/>
      <c r="O174" s="9"/>
      <c r="P174" s="9"/>
      <c r="Q174" s="9"/>
      <c r="R174" s="11"/>
      <c r="S174" s="11"/>
      <c r="T174" s="11"/>
      <c r="U174" s="9"/>
      <c r="V174" s="9"/>
      <c r="W174" s="9"/>
    </row>
    <row r="175" customFormat="false" ht="15" hidden="false" customHeight="false" outlineLevel="0" collapsed="false">
      <c r="A175" s="9"/>
      <c r="B175" s="10"/>
      <c r="C175" s="9"/>
      <c r="D175" s="9"/>
      <c r="E175" s="9"/>
      <c r="F175" s="11"/>
      <c r="G175" s="11"/>
      <c r="H175" s="11"/>
      <c r="I175" s="9"/>
      <c r="J175" s="9"/>
      <c r="K175" s="9"/>
      <c r="L175" s="11"/>
      <c r="M175" s="11"/>
      <c r="N175" s="11"/>
      <c r="O175" s="9"/>
      <c r="P175" s="9"/>
      <c r="Q175" s="9"/>
      <c r="R175" s="11"/>
      <c r="S175" s="11"/>
      <c r="T175" s="11"/>
      <c r="U175" s="9"/>
      <c r="V175" s="9"/>
      <c r="W175" s="9"/>
    </row>
    <row r="176" customFormat="false" ht="15" hidden="false" customHeight="false" outlineLevel="0" collapsed="false">
      <c r="A176" s="9"/>
      <c r="B176" s="10"/>
      <c r="C176" s="9"/>
      <c r="D176" s="9"/>
      <c r="E176" s="9"/>
      <c r="F176" s="11"/>
      <c r="G176" s="11"/>
      <c r="H176" s="11"/>
      <c r="I176" s="9"/>
      <c r="J176" s="9"/>
      <c r="K176" s="9"/>
      <c r="L176" s="11"/>
      <c r="M176" s="11"/>
      <c r="N176" s="11"/>
      <c r="O176" s="9"/>
      <c r="P176" s="9"/>
      <c r="Q176" s="9"/>
      <c r="R176" s="11"/>
      <c r="S176" s="11"/>
      <c r="T176" s="11"/>
      <c r="U176" s="9"/>
      <c r="V176" s="9"/>
      <c r="W176" s="9"/>
    </row>
    <row r="177" customFormat="false" ht="15" hidden="false" customHeight="false" outlineLevel="0" collapsed="false">
      <c r="A177" s="9"/>
      <c r="B177" s="10"/>
      <c r="C177" s="9"/>
      <c r="D177" s="9"/>
      <c r="E177" s="9"/>
      <c r="F177" s="11"/>
      <c r="G177" s="11"/>
      <c r="H177" s="11"/>
      <c r="I177" s="9"/>
      <c r="J177" s="9"/>
      <c r="K177" s="9"/>
      <c r="L177" s="11"/>
      <c r="M177" s="11"/>
      <c r="N177" s="11"/>
      <c r="O177" s="9"/>
      <c r="P177" s="9"/>
      <c r="Q177" s="9"/>
      <c r="R177" s="11"/>
      <c r="S177" s="11"/>
      <c r="T177" s="11"/>
      <c r="U177" s="9"/>
      <c r="V177" s="9"/>
      <c r="W177" s="9"/>
    </row>
    <row r="178" customFormat="false" ht="15" hidden="false" customHeight="false" outlineLevel="0" collapsed="false">
      <c r="A178" s="9"/>
      <c r="B178" s="10"/>
      <c r="C178" s="9"/>
      <c r="D178" s="9"/>
      <c r="E178" s="9"/>
      <c r="F178" s="11"/>
      <c r="G178" s="11"/>
      <c r="H178" s="11"/>
      <c r="I178" s="9"/>
      <c r="J178" s="9"/>
      <c r="K178" s="9"/>
      <c r="L178" s="11"/>
      <c r="M178" s="11"/>
      <c r="N178" s="11"/>
      <c r="O178" s="9"/>
      <c r="P178" s="9"/>
      <c r="Q178" s="9"/>
      <c r="R178" s="11"/>
      <c r="S178" s="11"/>
      <c r="T178" s="11"/>
      <c r="U178" s="9"/>
      <c r="V178" s="9"/>
      <c r="W178" s="9"/>
    </row>
    <row r="179" customFormat="false" ht="15" hidden="false" customHeight="false" outlineLevel="0" collapsed="false">
      <c r="A179" s="9"/>
      <c r="B179" s="10"/>
      <c r="C179" s="9"/>
      <c r="D179" s="9"/>
      <c r="E179" s="9"/>
      <c r="F179" s="11"/>
      <c r="G179" s="11"/>
      <c r="H179" s="11"/>
      <c r="I179" s="9"/>
      <c r="J179" s="9"/>
      <c r="K179" s="9"/>
      <c r="L179" s="11"/>
      <c r="M179" s="11"/>
      <c r="N179" s="11"/>
      <c r="O179" s="9"/>
      <c r="P179" s="9"/>
      <c r="Q179" s="9"/>
      <c r="R179" s="11"/>
      <c r="S179" s="11"/>
      <c r="T179" s="11"/>
      <c r="U179" s="9"/>
      <c r="V179" s="9"/>
      <c r="W179" s="9"/>
    </row>
    <row r="180" customFormat="false" ht="15" hidden="false" customHeight="false" outlineLevel="0" collapsed="false">
      <c r="A180" s="9"/>
      <c r="B180" s="10"/>
      <c r="C180" s="9"/>
      <c r="D180" s="9"/>
      <c r="E180" s="9"/>
      <c r="F180" s="11"/>
      <c r="G180" s="11"/>
      <c r="H180" s="11"/>
      <c r="I180" s="9"/>
      <c r="J180" s="9"/>
      <c r="K180" s="9"/>
      <c r="L180" s="11"/>
      <c r="M180" s="11"/>
      <c r="N180" s="11"/>
      <c r="O180" s="9"/>
      <c r="P180" s="9"/>
      <c r="Q180" s="9"/>
      <c r="R180" s="11"/>
      <c r="S180" s="11"/>
      <c r="T180" s="11"/>
      <c r="U180" s="9"/>
      <c r="V180" s="9"/>
      <c r="W180" s="9"/>
    </row>
    <row r="181" customFormat="false" ht="15" hidden="false" customHeight="false" outlineLevel="0" collapsed="false">
      <c r="A181" s="9"/>
      <c r="B181" s="10"/>
      <c r="C181" s="9"/>
      <c r="D181" s="9"/>
      <c r="E181" s="9"/>
      <c r="F181" s="11"/>
      <c r="G181" s="11"/>
      <c r="H181" s="11"/>
      <c r="I181" s="9"/>
      <c r="J181" s="9"/>
      <c r="K181" s="9"/>
      <c r="L181" s="11"/>
      <c r="M181" s="11"/>
      <c r="N181" s="11"/>
      <c r="O181" s="9"/>
      <c r="P181" s="9"/>
      <c r="Q181" s="9"/>
      <c r="R181" s="11"/>
      <c r="S181" s="11"/>
      <c r="T181" s="11"/>
      <c r="U181" s="9"/>
      <c r="V181" s="9"/>
      <c r="W181" s="9"/>
    </row>
    <row r="182" customFormat="false" ht="15" hidden="false" customHeight="false" outlineLevel="0" collapsed="false">
      <c r="A182" s="9"/>
      <c r="B182" s="10"/>
      <c r="C182" s="9"/>
      <c r="D182" s="9"/>
      <c r="E182" s="9"/>
      <c r="F182" s="11"/>
      <c r="G182" s="11"/>
      <c r="H182" s="11"/>
      <c r="I182" s="9"/>
      <c r="J182" s="9"/>
      <c r="K182" s="9"/>
      <c r="L182" s="11"/>
      <c r="M182" s="11"/>
      <c r="N182" s="11"/>
      <c r="O182" s="9"/>
      <c r="P182" s="9"/>
      <c r="Q182" s="9"/>
      <c r="R182" s="11"/>
      <c r="S182" s="11"/>
      <c r="T182" s="11"/>
      <c r="U182" s="9"/>
      <c r="V182" s="9"/>
      <c r="W182" s="9"/>
    </row>
    <row r="183" customFormat="false" ht="15" hidden="false" customHeight="false" outlineLevel="0" collapsed="false">
      <c r="A183" s="9"/>
      <c r="B183" s="10"/>
      <c r="C183" s="9"/>
      <c r="D183" s="9"/>
      <c r="E183" s="9"/>
      <c r="F183" s="11"/>
      <c r="G183" s="11"/>
      <c r="H183" s="11"/>
      <c r="I183" s="9"/>
      <c r="J183" s="9"/>
      <c r="K183" s="9"/>
      <c r="L183" s="11"/>
      <c r="M183" s="11"/>
      <c r="N183" s="11"/>
      <c r="O183" s="9"/>
      <c r="P183" s="9"/>
      <c r="Q183" s="9"/>
      <c r="R183" s="11"/>
      <c r="S183" s="11"/>
      <c r="T183" s="11"/>
      <c r="U183" s="9"/>
      <c r="V183" s="9"/>
      <c r="W183" s="9"/>
    </row>
    <row r="184" customFormat="false" ht="15" hidden="false" customHeight="false" outlineLevel="0" collapsed="false">
      <c r="A184" s="9"/>
      <c r="B184" s="10"/>
      <c r="C184" s="9"/>
      <c r="D184" s="9"/>
      <c r="E184" s="9"/>
      <c r="F184" s="11"/>
      <c r="G184" s="11"/>
      <c r="H184" s="11"/>
      <c r="I184" s="9"/>
      <c r="J184" s="9"/>
      <c r="K184" s="9"/>
      <c r="L184" s="11"/>
      <c r="M184" s="11"/>
      <c r="N184" s="11"/>
      <c r="O184" s="9"/>
      <c r="P184" s="9"/>
      <c r="Q184" s="9"/>
      <c r="R184" s="11"/>
      <c r="S184" s="11"/>
      <c r="T184" s="11"/>
      <c r="U184" s="9"/>
      <c r="V184" s="9"/>
      <c r="W184" s="9"/>
    </row>
    <row r="185" customFormat="false" ht="15" hidden="false" customHeight="false" outlineLevel="0" collapsed="false">
      <c r="A185" s="9"/>
      <c r="B185" s="10"/>
      <c r="C185" s="9"/>
      <c r="D185" s="9"/>
      <c r="E185" s="9"/>
      <c r="F185" s="11"/>
      <c r="G185" s="11"/>
      <c r="H185" s="11"/>
      <c r="I185" s="9"/>
      <c r="J185" s="9"/>
      <c r="K185" s="9"/>
      <c r="L185" s="11"/>
      <c r="M185" s="11"/>
      <c r="N185" s="11"/>
      <c r="O185" s="9"/>
      <c r="P185" s="9"/>
      <c r="Q185" s="9"/>
      <c r="R185" s="11"/>
      <c r="S185" s="11"/>
      <c r="T185" s="11"/>
      <c r="U185" s="9"/>
      <c r="V185" s="9"/>
      <c r="W185" s="9"/>
    </row>
    <row r="186" customFormat="false" ht="15" hidden="false" customHeight="false" outlineLevel="0" collapsed="false">
      <c r="A186" s="9"/>
      <c r="B186" s="10"/>
      <c r="C186" s="9"/>
      <c r="D186" s="9"/>
      <c r="E186" s="9"/>
      <c r="F186" s="11"/>
      <c r="G186" s="11"/>
      <c r="H186" s="11"/>
      <c r="I186" s="9"/>
      <c r="J186" s="9"/>
      <c r="K186" s="9"/>
      <c r="L186" s="11"/>
      <c r="M186" s="11"/>
      <c r="N186" s="11"/>
      <c r="O186" s="9"/>
      <c r="P186" s="9"/>
      <c r="Q186" s="9"/>
      <c r="R186" s="11"/>
      <c r="S186" s="11"/>
      <c r="T186" s="11"/>
      <c r="U186" s="9"/>
      <c r="V186" s="9"/>
      <c r="W186" s="9"/>
    </row>
    <row r="187" customFormat="false" ht="15" hidden="false" customHeight="false" outlineLevel="0" collapsed="false">
      <c r="A187" s="9"/>
      <c r="B187" s="10"/>
      <c r="C187" s="9"/>
      <c r="D187" s="9"/>
      <c r="E187" s="9"/>
      <c r="F187" s="11"/>
      <c r="G187" s="11"/>
      <c r="H187" s="11"/>
      <c r="I187" s="9"/>
      <c r="J187" s="9"/>
      <c r="K187" s="9"/>
      <c r="L187" s="11"/>
      <c r="M187" s="11"/>
      <c r="N187" s="11"/>
      <c r="O187" s="9"/>
      <c r="P187" s="9"/>
      <c r="Q187" s="9"/>
      <c r="R187" s="11"/>
      <c r="S187" s="11"/>
      <c r="T187" s="11"/>
      <c r="U187" s="9"/>
      <c r="V187" s="9"/>
      <c r="W187" s="9"/>
    </row>
    <row r="188" customFormat="false" ht="15" hidden="false" customHeight="false" outlineLevel="0" collapsed="false">
      <c r="A188" s="9"/>
      <c r="B188" s="10"/>
      <c r="C188" s="9"/>
      <c r="D188" s="9"/>
      <c r="E188" s="9"/>
      <c r="F188" s="11"/>
      <c r="G188" s="11"/>
      <c r="H188" s="11"/>
      <c r="I188" s="9"/>
      <c r="J188" s="9"/>
      <c r="K188" s="9"/>
      <c r="L188" s="11"/>
      <c r="M188" s="11"/>
      <c r="N188" s="11"/>
      <c r="O188" s="9"/>
      <c r="P188" s="9"/>
      <c r="Q188" s="9"/>
      <c r="R188" s="11"/>
      <c r="S188" s="11"/>
      <c r="T188" s="11"/>
      <c r="U188" s="9"/>
      <c r="V188" s="9"/>
      <c r="W188" s="9"/>
    </row>
    <row r="189" customFormat="false" ht="15" hidden="false" customHeight="false" outlineLevel="0" collapsed="false">
      <c r="A189" s="9"/>
      <c r="B189" s="10"/>
      <c r="C189" s="9"/>
      <c r="D189" s="9"/>
      <c r="E189" s="9"/>
      <c r="F189" s="11"/>
      <c r="G189" s="11"/>
      <c r="H189" s="11"/>
      <c r="I189" s="9"/>
      <c r="J189" s="9"/>
      <c r="K189" s="9"/>
      <c r="L189" s="11"/>
      <c r="M189" s="11"/>
      <c r="N189" s="11"/>
      <c r="O189" s="9"/>
      <c r="P189" s="9"/>
      <c r="Q189" s="9"/>
      <c r="R189" s="11"/>
      <c r="S189" s="11"/>
      <c r="T189" s="11"/>
      <c r="U189" s="9"/>
      <c r="V189" s="9"/>
      <c r="W189" s="9"/>
    </row>
    <row r="190" customFormat="false" ht="15" hidden="false" customHeight="false" outlineLevel="0" collapsed="false">
      <c r="A190" s="9"/>
      <c r="B190" s="10"/>
      <c r="C190" s="9"/>
      <c r="D190" s="9"/>
      <c r="E190" s="9"/>
      <c r="F190" s="11"/>
      <c r="G190" s="11"/>
      <c r="H190" s="11"/>
      <c r="I190" s="9"/>
      <c r="J190" s="9"/>
      <c r="K190" s="9"/>
      <c r="L190" s="11"/>
      <c r="M190" s="11"/>
      <c r="N190" s="11"/>
      <c r="O190" s="9"/>
      <c r="P190" s="9"/>
      <c r="Q190" s="9"/>
      <c r="R190" s="11"/>
      <c r="S190" s="11"/>
      <c r="T190" s="11"/>
      <c r="U190" s="9"/>
      <c r="V190" s="9"/>
      <c r="W190" s="9"/>
    </row>
    <row r="191" customFormat="false" ht="15" hidden="false" customHeight="false" outlineLevel="0" collapsed="false">
      <c r="A191" s="9"/>
      <c r="B191" s="10"/>
      <c r="C191" s="9"/>
      <c r="D191" s="9"/>
      <c r="E191" s="9"/>
      <c r="F191" s="11"/>
      <c r="G191" s="11"/>
      <c r="H191" s="11"/>
      <c r="I191" s="9"/>
      <c r="J191" s="9"/>
      <c r="K191" s="9"/>
      <c r="L191" s="11"/>
      <c r="M191" s="11"/>
      <c r="N191" s="11"/>
      <c r="O191" s="9"/>
      <c r="P191" s="9"/>
      <c r="Q191" s="9"/>
      <c r="R191" s="11"/>
      <c r="S191" s="11"/>
      <c r="T191" s="11"/>
      <c r="U191" s="9"/>
      <c r="V191" s="9"/>
      <c r="W191" s="9"/>
    </row>
    <row r="192" customFormat="false" ht="15" hidden="false" customHeight="false" outlineLevel="0" collapsed="false">
      <c r="A192" s="9"/>
      <c r="B192" s="10"/>
      <c r="C192" s="9"/>
      <c r="D192" s="9"/>
      <c r="E192" s="9"/>
      <c r="F192" s="11"/>
      <c r="G192" s="11"/>
      <c r="H192" s="11"/>
      <c r="I192" s="9"/>
      <c r="J192" s="9"/>
      <c r="K192" s="9"/>
      <c r="L192" s="11"/>
      <c r="M192" s="11"/>
      <c r="N192" s="11"/>
      <c r="O192" s="9"/>
      <c r="P192" s="9"/>
      <c r="Q192" s="9"/>
      <c r="R192" s="11"/>
      <c r="S192" s="11"/>
      <c r="T192" s="11"/>
      <c r="U192" s="9"/>
      <c r="V192" s="9"/>
      <c r="W192" s="9"/>
    </row>
    <row r="193" customFormat="false" ht="15" hidden="false" customHeight="false" outlineLevel="0" collapsed="false">
      <c r="A193" s="9"/>
      <c r="B193" s="10"/>
      <c r="C193" s="9"/>
      <c r="D193" s="9"/>
      <c r="E193" s="9"/>
      <c r="F193" s="11"/>
      <c r="G193" s="11"/>
      <c r="H193" s="11"/>
      <c r="I193" s="9"/>
      <c r="J193" s="9"/>
      <c r="K193" s="9"/>
      <c r="L193" s="11"/>
      <c r="M193" s="11"/>
      <c r="N193" s="11"/>
      <c r="O193" s="9"/>
      <c r="P193" s="9"/>
      <c r="Q193" s="9"/>
      <c r="R193" s="11"/>
      <c r="S193" s="11"/>
      <c r="T193" s="11"/>
      <c r="U193" s="9"/>
      <c r="V193" s="9"/>
      <c r="W193" s="9"/>
    </row>
    <row r="194" customFormat="false" ht="15" hidden="false" customHeight="false" outlineLevel="0" collapsed="false">
      <c r="A194" s="9"/>
      <c r="B194" s="10"/>
      <c r="C194" s="9"/>
      <c r="D194" s="9"/>
      <c r="E194" s="9"/>
      <c r="F194" s="11"/>
      <c r="G194" s="11"/>
      <c r="H194" s="11"/>
      <c r="I194" s="9"/>
      <c r="J194" s="9"/>
      <c r="K194" s="9"/>
      <c r="L194" s="11"/>
      <c r="M194" s="11"/>
      <c r="N194" s="11"/>
      <c r="O194" s="9"/>
      <c r="P194" s="9"/>
      <c r="Q194" s="9"/>
      <c r="R194" s="11"/>
      <c r="S194" s="11"/>
      <c r="T194" s="11"/>
      <c r="U194" s="9"/>
      <c r="V194" s="9"/>
      <c r="W194" s="9"/>
    </row>
    <row r="195" customFormat="false" ht="15" hidden="false" customHeight="false" outlineLevel="0" collapsed="false">
      <c r="A195" s="9"/>
      <c r="B195" s="10"/>
      <c r="C195" s="9"/>
      <c r="D195" s="9"/>
      <c r="E195" s="9"/>
      <c r="F195" s="11"/>
      <c r="G195" s="11"/>
      <c r="H195" s="11"/>
      <c r="I195" s="9"/>
      <c r="J195" s="9"/>
      <c r="K195" s="9"/>
      <c r="L195" s="11"/>
      <c r="M195" s="11"/>
      <c r="N195" s="11"/>
      <c r="O195" s="9"/>
      <c r="P195" s="9"/>
      <c r="Q195" s="9"/>
      <c r="R195" s="11"/>
      <c r="S195" s="11"/>
      <c r="T195" s="11"/>
      <c r="U195" s="9"/>
      <c r="V195" s="9"/>
      <c r="W195" s="9"/>
    </row>
    <row r="196" customFormat="false" ht="15" hidden="false" customHeight="false" outlineLevel="0" collapsed="false">
      <c r="A196" s="9"/>
      <c r="B196" s="10"/>
      <c r="C196" s="9"/>
      <c r="D196" s="9"/>
      <c r="E196" s="9"/>
      <c r="F196" s="11"/>
      <c r="G196" s="11"/>
      <c r="H196" s="11"/>
      <c r="I196" s="9"/>
      <c r="J196" s="9"/>
      <c r="K196" s="9"/>
      <c r="L196" s="11"/>
      <c r="M196" s="11"/>
      <c r="N196" s="11"/>
      <c r="O196" s="9"/>
      <c r="P196" s="9"/>
      <c r="Q196" s="9"/>
      <c r="R196" s="11"/>
      <c r="S196" s="11"/>
      <c r="T196" s="11"/>
      <c r="U196" s="9"/>
      <c r="V196" s="9"/>
      <c r="W196" s="9"/>
    </row>
    <row r="197" customFormat="false" ht="15" hidden="false" customHeight="false" outlineLevel="0" collapsed="false">
      <c r="A197" s="9"/>
      <c r="B197" s="10"/>
      <c r="C197" s="9"/>
      <c r="D197" s="9"/>
      <c r="E197" s="9"/>
      <c r="F197" s="11"/>
      <c r="G197" s="11"/>
      <c r="H197" s="11"/>
      <c r="I197" s="9"/>
      <c r="J197" s="9"/>
      <c r="K197" s="9"/>
      <c r="L197" s="11"/>
      <c r="M197" s="11"/>
      <c r="N197" s="11"/>
      <c r="O197" s="9"/>
      <c r="P197" s="9"/>
      <c r="Q197" s="9"/>
      <c r="R197" s="11"/>
      <c r="S197" s="11"/>
      <c r="T197" s="11"/>
      <c r="U197" s="9"/>
      <c r="V197" s="9"/>
      <c r="W197" s="9"/>
    </row>
    <row r="198" customFormat="false" ht="15" hidden="false" customHeight="false" outlineLevel="0" collapsed="false">
      <c r="A198" s="9"/>
      <c r="B198" s="10"/>
      <c r="C198" s="9"/>
      <c r="D198" s="9"/>
      <c r="E198" s="9"/>
      <c r="F198" s="11"/>
      <c r="G198" s="11"/>
      <c r="H198" s="11"/>
      <c r="I198" s="9"/>
      <c r="J198" s="9"/>
      <c r="K198" s="9"/>
      <c r="L198" s="11"/>
      <c r="M198" s="11"/>
      <c r="N198" s="11"/>
      <c r="O198" s="9"/>
      <c r="P198" s="9"/>
      <c r="Q198" s="9"/>
      <c r="R198" s="11"/>
      <c r="S198" s="11"/>
      <c r="T198" s="11"/>
      <c r="U198" s="9"/>
      <c r="V198" s="9"/>
      <c r="W198" s="9"/>
    </row>
    <row r="199" customFormat="false" ht="15" hidden="false" customHeight="false" outlineLevel="0" collapsed="false">
      <c r="A199" s="9"/>
      <c r="B199" s="10"/>
      <c r="C199" s="9"/>
      <c r="D199" s="9"/>
      <c r="E199" s="9"/>
      <c r="F199" s="11"/>
      <c r="G199" s="11"/>
      <c r="H199" s="11"/>
      <c r="I199" s="9"/>
      <c r="J199" s="9"/>
      <c r="K199" s="9"/>
      <c r="L199" s="11"/>
      <c r="M199" s="11"/>
      <c r="N199" s="11"/>
      <c r="O199" s="9"/>
      <c r="P199" s="9"/>
      <c r="Q199" s="9"/>
      <c r="R199" s="11"/>
      <c r="S199" s="11"/>
      <c r="T199" s="11"/>
      <c r="U199" s="9"/>
      <c r="V199" s="9"/>
      <c r="W199" s="9"/>
    </row>
    <row r="200" customFormat="false" ht="15" hidden="false" customHeight="false" outlineLevel="0" collapsed="false">
      <c r="A200" s="9"/>
      <c r="B200" s="10"/>
      <c r="C200" s="9"/>
      <c r="D200" s="9"/>
      <c r="E200" s="9"/>
      <c r="F200" s="11"/>
      <c r="G200" s="11"/>
      <c r="H200" s="11"/>
      <c r="I200" s="9"/>
      <c r="J200" s="9"/>
      <c r="K200" s="9"/>
      <c r="L200" s="11"/>
      <c r="M200" s="11"/>
      <c r="N200" s="11"/>
      <c r="O200" s="9"/>
      <c r="P200" s="9"/>
      <c r="Q200" s="9"/>
      <c r="R200" s="11"/>
      <c r="S200" s="11"/>
      <c r="T200" s="11"/>
      <c r="U200" s="9"/>
      <c r="V200" s="9"/>
      <c r="W200" s="9"/>
    </row>
    <row r="201" customFormat="false" ht="15" hidden="false" customHeight="false" outlineLevel="0" collapsed="false">
      <c r="A201" s="9"/>
      <c r="B201" s="10"/>
      <c r="C201" s="9"/>
      <c r="D201" s="9"/>
      <c r="E201" s="9"/>
      <c r="F201" s="11"/>
      <c r="G201" s="11"/>
      <c r="H201" s="11"/>
      <c r="I201" s="9"/>
      <c r="J201" s="9"/>
      <c r="K201" s="9"/>
      <c r="L201" s="11"/>
      <c r="M201" s="11"/>
      <c r="N201" s="11"/>
      <c r="O201" s="9"/>
      <c r="P201" s="9"/>
      <c r="Q201" s="9"/>
      <c r="R201" s="11"/>
      <c r="S201" s="11"/>
      <c r="T201" s="11"/>
      <c r="U201" s="9"/>
      <c r="V201" s="9"/>
      <c r="W201" s="9"/>
    </row>
    <row r="202" customFormat="false" ht="15" hidden="false" customHeight="false" outlineLevel="0" collapsed="false">
      <c r="A202" s="9"/>
      <c r="B202" s="10"/>
      <c r="C202" s="9"/>
      <c r="D202" s="9"/>
      <c r="E202" s="9"/>
      <c r="F202" s="11"/>
      <c r="G202" s="11"/>
      <c r="H202" s="11"/>
      <c r="I202" s="9"/>
      <c r="J202" s="9"/>
      <c r="K202" s="9"/>
      <c r="L202" s="11"/>
      <c r="M202" s="11"/>
      <c r="N202" s="11"/>
      <c r="O202" s="9"/>
      <c r="P202" s="9"/>
      <c r="Q202" s="9"/>
      <c r="R202" s="11"/>
      <c r="S202" s="11"/>
      <c r="T202" s="11"/>
      <c r="U202" s="9"/>
      <c r="V202" s="9"/>
      <c r="W202" s="9"/>
    </row>
    <row r="203" customFormat="false" ht="15" hidden="false" customHeight="false" outlineLevel="0" collapsed="false">
      <c r="A203" s="9"/>
      <c r="B203" s="10"/>
      <c r="C203" s="9"/>
      <c r="D203" s="9"/>
      <c r="E203" s="9"/>
      <c r="F203" s="11"/>
      <c r="G203" s="11"/>
      <c r="H203" s="11"/>
      <c r="I203" s="9"/>
      <c r="J203" s="9"/>
      <c r="K203" s="9"/>
      <c r="L203" s="11"/>
      <c r="M203" s="11"/>
      <c r="N203" s="11"/>
      <c r="O203" s="9"/>
      <c r="P203" s="9"/>
      <c r="Q203" s="9"/>
      <c r="R203" s="11"/>
      <c r="S203" s="11"/>
      <c r="T203" s="11"/>
      <c r="U203" s="9"/>
      <c r="V203" s="9"/>
      <c r="W203" s="9"/>
    </row>
  </sheetData>
  <conditionalFormatting sqref="C3:C203">
    <cfRule type="expression" priority="2" aboveAverage="0" equalAverage="0" bottom="0" percent="0" rank="0" text="" dxfId="0">
      <formula>C3="محجوب"</formula>
    </cfRule>
    <cfRule type="expression" priority="3" aboveAverage="0" equalAverage="0" bottom="0" percent="0" rank="0" text="" dxfId="1">
      <formula>OR(C3="غائب",C3="بعذر")</formula>
    </cfRule>
    <cfRule type="expression" priority="4" aboveAverage="0" equalAverage="0" bottom="0" percent="0" rank="0" text="" dxfId="2">
      <formula>AND(ISNUMBER(C3),C3&lt;الإعدادات!$B$2*الإعدادات!$B$4/100)</formula>
    </cfRule>
  </conditionalFormatting>
  <conditionalFormatting sqref="D3:D203">
    <cfRule type="expression" priority="5" aboveAverage="0" equalAverage="0" bottom="0" percent="0" rank="0" text="" dxfId="0">
      <formula>D3="محجوب"</formula>
    </cfRule>
    <cfRule type="expression" priority="6" aboveAverage="0" equalAverage="0" bottom="0" percent="0" rank="0" text="" dxfId="1">
      <formula>OR(D3="غائب",D3="بعذر")</formula>
    </cfRule>
    <cfRule type="expression" priority="7" aboveAverage="0" equalAverage="0" bottom="0" percent="0" rank="0" text="" dxfId="2">
      <formula>AND(ISNUMBER(D3),D3&lt;الإعدادات!$B$3*الإعدادات!$B$4/100)</formula>
    </cfRule>
  </conditionalFormatting>
  <conditionalFormatting sqref="E3:E203">
    <cfRule type="expression" priority="8" aboveAverage="0" equalAverage="0" bottom="0" percent="0" rank="0" text="" dxfId="0">
      <formula>E3="محجوب"</formula>
    </cfRule>
    <cfRule type="expression" priority="9" aboveAverage="0" equalAverage="0" bottom="0" percent="0" rank="0" text="" dxfId="1">
      <formula>OR(E3="غائب",E3="بعذر")</formula>
    </cfRule>
    <cfRule type="expression" priority="10" aboveAverage="0" equalAverage="0" bottom="0" percent="0" rank="0" text="" dxfId="2">
      <formula>AND(ISNUMBER(E3),E3&lt;الإعدادات!$B$2*الإعدادات!$B$4/100)</formula>
    </cfRule>
  </conditionalFormatting>
  <conditionalFormatting sqref="F3:F203">
    <cfRule type="expression" priority="11" aboveAverage="0" equalAverage="0" bottom="0" percent="0" rank="0" text="" dxfId="0">
      <formula>F3="محجوب"</formula>
    </cfRule>
    <cfRule type="expression" priority="12" aboveAverage="0" equalAverage="0" bottom="0" percent="0" rank="0" text="" dxfId="1">
      <formula>OR(F3="غائب",F3="بعذر")</formula>
    </cfRule>
    <cfRule type="expression" priority="13" aboveAverage="0" equalAverage="0" bottom="0" percent="0" rank="0" text="" dxfId="2">
      <formula>AND(ISNUMBER(F3),F3&lt;الإعدادات!$B$2*الإعدادات!$B$4/100)</formula>
    </cfRule>
  </conditionalFormatting>
  <conditionalFormatting sqref="G3:G203">
    <cfRule type="expression" priority="14" aboveAverage="0" equalAverage="0" bottom="0" percent="0" rank="0" text="" dxfId="0">
      <formula>G3="محجوب"</formula>
    </cfRule>
    <cfRule type="expression" priority="15" aboveAverage="0" equalAverage="0" bottom="0" percent="0" rank="0" text="" dxfId="1">
      <formula>OR(G3="غائب",G3="بعذر")</formula>
    </cfRule>
    <cfRule type="expression" priority="16" aboveAverage="0" equalAverage="0" bottom="0" percent="0" rank="0" text="" dxfId="2">
      <formula>AND(ISNUMBER(G3),G3&lt;الإعدادات!$B$3*الإعدادات!$B$4/100)</formula>
    </cfRule>
  </conditionalFormatting>
  <conditionalFormatting sqref="H3:H203">
    <cfRule type="expression" priority="17" aboveAverage="0" equalAverage="0" bottom="0" percent="0" rank="0" text="" dxfId="0">
      <formula>H3="محجوب"</formula>
    </cfRule>
    <cfRule type="expression" priority="18" aboveAverage="0" equalAverage="0" bottom="0" percent="0" rank="0" text="" dxfId="1">
      <formula>OR(H3="غائب",H3="بعذر")</formula>
    </cfRule>
    <cfRule type="expression" priority="19" aboveAverage="0" equalAverage="0" bottom="0" percent="0" rank="0" text="" dxfId="2">
      <formula>AND(ISNUMBER(H3),H3&lt;الإعدادات!$B$2*الإعدادات!$B$4/100)</formula>
    </cfRule>
  </conditionalFormatting>
  <conditionalFormatting sqref="I3:I203">
    <cfRule type="expression" priority="20" aboveAverage="0" equalAverage="0" bottom="0" percent="0" rank="0" text="" dxfId="0">
      <formula>I3="محجوب"</formula>
    </cfRule>
    <cfRule type="expression" priority="21" aboveAverage="0" equalAverage="0" bottom="0" percent="0" rank="0" text="" dxfId="1">
      <formula>OR(I3="غائب",I3="بعذر")</formula>
    </cfRule>
    <cfRule type="expression" priority="22" aboveAverage="0" equalAverage="0" bottom="0" percent="0" rank="0" text="" dxfId="2">
      <formula>AND(ISNUMBER(I3),I3&lt;الإعدادات!$B$2*الإعدادات!$B$4/100)</formula>
    </cfRule>
  </conditionalFormatting>
  <conditionalFormatting sqref="J3:J203">
    <cfRule type="expression" priority="23" aboveAverage="0" equalAverage="0" bottom="0" percent="0" rank="0" text="" dxfId="0">
      <formula>J3="محجوب"</formula>
    </cfRule>
    <cfRule type="expression" priority="24" aboveAverage="0" equalAverage="0" bottom="0" percent="0" rank="0" text="" dxfId="1">
      <formula>OR(J3="غائب",J3="بعذر")</formula>
    </cfRule>
    <cfRule type="expression" priority="25" aboveAverage="0" equalAverage="0" bottom="0" percent="0" rank="0" text="" dxfId="2">
      <formula>AND(ISNUMBER(J3),J3&lt;الإعدادات!$B$3*الإعدادات!$B$4/100)</formula>
    </cfRule>
  </conditionalFormatting>
  <conditionalFormatting sqref="K3:K203">
    <cfRule type="expression" priority="26" aboveAverage="0" equalAverage="0" bottom="0" percent="0" rank="0" text="" dxfId="0">
      <formula>K3="محجوب"</formula>
    </cfRule>
    <cfRule type="expression" priority="27" aboveAverage="0" equalAverage="0" bottom="0" percent="0" rank="0" text="" dxfId="1">
      <formula>OR(K3="غائب",K3="بعذر")</formula>
    </cfRule>
    <cfRule type="expression" priority="28" aboveAverage="0" equalAverage="0" bottom="0" percent="0" rank="0" text="" dxfId="2">
      <formula>AND(ISNUMBER(K3),K3&lt;الإعدادات!$B$2*الإعدادات!$B$4/100)</formula>
    </cfRule>
  </conditionalFormatting>
  <conditionalFormatting sqref="L3:L203">
    <cfRule type="expression" priority="29" aboveAverage="0" equalAverage="0" bottom="0" percent="0" rank="0" text="" dxfId="0">
      <formula>L3="محجوب"</formula>
    </cfRule>
    <cfRule type="expression" priority="30" aboveAverage="0" equalAverage="0" bottom="0" percent="0" rank="0" text="" dxfId="1">
      <formula>OR(L3="غائب",L3="بعذر")</formula>
    </cfRule>
    <cfRule type="expression" priority="31" aboveAverage="0" equalAverage="0" bottom="0" percent="0" rank="0" text="" dxfId="2">
      <formula>AND(ISNUMBER(L3),L3&lt;الإعدادات!$B$2*الإعدادات!$B$4/100)</formula>
    </cfRule>
  </conditionalFormatting>
  <conditionalFormatting sqref="M3:M203">
    <cfRule type="expression" priority="32" aboveAverage="0" equalAverage="0" bottom="0" percent="0" rank="0" text="" dxfId="0">
      <formula>M3="محجوب"</formula>
    </cfRule>
    <cfRule type="expression" priority="33" aboveAverage="0" equalAverage="0" bottom="0" percent="0" rank="0" text="" dxfId="1">
      <formula>OR(M3="غائب",M3="بعذر")</formula>
    </cfRule>
    <cfRule type="expression" priority="34" aboveAverage="0" equalAverage="0" bottom="0" percent="0" rank="0" text="" dxfId="2">
      <formula>AND(ISNUMBER(M3),M3&lt;الإعدادات!$B$3*الإعدادات!$B$4/100)</formula>
    </cfRule>
  </conditionalFormatting>
  <conditionalFormatting sqref="N3:N203">
    <cfRule type="expression" priority="35" aboveAverage="0" equalAverage="0" bottom="0" percent="0" rank="0" text="" dxfId="0">
      <formula>N3="محجوب"</formula>
    </cfRule>
    <cfRule type="expression" priority="36" aboveAverage="0" equalAverage="0" bottom="0" percent="0" rank="0" text="" dxfId="1">
      <formula>OR(N3="غائب",N3="بعذر")</formula>
    </cfRule>
    <cfRule type="expression" priority="37" aboveAverage="0" equalAverage="0" bottom="0" percent="0" rank="0" text="" dxfId="2">
      <formula>AND(ISNUMBER(N3),N3&lt;الإعدادات!$B$2*الإعدادات!$B$4/100)</formula>
    </cfRule>
  </conditionalFormatting>
  <conditionalFormatting sqref="O3:O203">
    <cfRule type="expression" priority="38" aboveAverage="0" equalAverage="0" bottom="0" percent="0" rank="0" text="" dxfId="0">
      <formula>O3="محجوب"</formula>
    </cfRule>
    <cfRule type="expression" priority="39" aboveAverage="0" equalAverage="0" bottom="0" percent="0" rank="0" text="" dxfId="1">
      <formula>OR(O3="غائب",O3="بعذر")</formula>
    </cfRule>
    <cfRule type="expression" priority="40" aboveAverage="0" equalAverage="0" bottom="0" percent="0" rank="0" text="" dxfId="2">
      <formula>AND(ISNUMBER(O3),O3&lt;الإعدادات!$B$2*الإعدادات!$B$4/100)</formula>
    </cfRule>
  </conditionalFormatting>
  <conditionalFormatting sqref="P3:P203">
    <cfRule type="expression" priority="41" aboveAverage="0" equalAverage="0" bottom="0" percent="0" rank="0" text="" dxfId="0">
      <formula>P3="محجوب"</formula>
    </cfRule>
    <cfRule type="expression" priority="42" aboveAverage="0" equalAverage="0" bottom="0" percent="0" rank="0" text="" dxfId="1">
      <formula>OR(P3="غائب",P3="بعذر")</formula>
    </cfRule>
    <cfRule type="expression" priority="43" aboveAverage="0" equalAverage="0" bottom="0" percent="0" rank="0" text="" dxfId="2">
      <formula>AND(ISNUMBER(P3),P3&lt;الإعدادات!$B$3*الإعدادات!$B$4/100)</formula>
    </cfRule>
  </conditionalFormatting>
  <conditionalFormatting sqref="Q3:Q203">
    <cfRule type="expression" priority="44" aboveAverage="0" equalAverage="0" bottom="0" percent="0" rank="0" text="" dxfId="0">
      <formula>Q3="محجوب"</formula>
    </cfRule>
    <cfRule type="expression" priority="45" aboveAverage="0" equalAverage="0" bottom="0" percent="0" rank="0" text="" dxfId="1">
      <formula>OR(Q3="غائب",Q3="بعذر")</formula>
    </cfRule>
    <cfRule type="expression" priority="46" aboveAverage="0" equalAverage="0" bottom="0" percent="0" rank="0" text="" dxfId="2">
      <formula>AND(ISNUMBER(Q3),Q3&lt;الإعدادات!$B$2*الإعدادات!$B$4/100)</formula>
    </cfRule>
  </conditionalFormatting>
  <conditionalFormatting sqref="R3:R203">
    <cfRule type="expression" priority="47" aboveAverage="0" equalAverage="0" bottom="0" percent="0" rank="0" text="" dxfId="0">
      <formula>R3="محجوب"</formula>
    </cfRule>
    <cfRule type="expression" priority="48" aboveAverage="0" equalAverage="0" bottom="0" percent="0" rank="0" text="" dxfId="1">
      <formula>OR(R3="غائب",R3="بعذر")</formula>
    </cfRule>
    <cfRule type="expression" priority="49" aboveAverage="0" equalAverage="0" bottom="0" percent="0" rank="0" text="" dxfId="2">
      <formula>AND(ISNUMBER(R3),R3&lt;الإعدادات!$B$2*الإعدادات!$B$4/100)</formula>
    </cfRule>
  </conditionalFormatting>
  <conditionalFormatting sqref="S3:S203">
    <cfRule type="expression" priority="50" aboveAverage="0" equalAverage="0" bottom="0" percent="0" rank="0" text="" dxfId="0">
      <formula>S3="محجوب"</formula>
    </cfRule>
    <cfRule type="expression" priority="51" aboveAverage="0" equalAverage="0" bottom="0" percent="0" rank="0" text="" dxfId="1">
      <formula>OR(S3="غائب",S3="بعذر")</formula>
    </cfRule>
    <cfRule type="expression" priority="52" aboveAverage="0" equalAverage="0" bottom="0" percent="0" rank="0" text="" dxfId="2">
      <formula>AND(ISNUMBER(S3),S3&lt;الإعدادات!$B$3*الإعدادات!$B$4/100)</formula>
    </cfRule>
  </conditionalFormatting>
  <conditionalFormatting sqref="T3:T203">
    <cfRule type="expression" priority="53" aboveAverage="0" equalAverage="0" bottom="0" percent="0" rank="0" text="" dxfId="0">
      <formula>T3="محجوب"</formula>
    </cfRule>
    <cfRule type="expression" priority="54" aboveAverage="0" equalAverage="0" bottom="0" percent="0" rank="0" text="" dxfId="1">
      <formula>OR(T3="غائب",T3="بعذر")</formula>
    </cfRule>
    <cfRule type="expression" priority="55" aboveAverage="0" equalAverage="0" bottom="0" percent="0" rank="0" text="" dxfId="2">
      <formula>AND(ISNUMBER(T3),T3&lt;الإعدادات!$B$2*الإعدادات!$B$4/100)</formula>
    </cfRule>
  </conditionalFormatting>
  <conditionalFormatting sqref="U3:U203">
    <cfRule type="expression" priority="56" aboveAverage="0" equalAverage="0" bottom="0" percent="0" rank="0" text="" dxfId="0">
      <formula>U3="محجوب"</formula>
    </cfRule>
    <cfRule type="expression" priority="57" aboveAverage="0" equalAverage="0" bottom="0" percent="0" rank="0" text="" dxfId="1">
      <formula>OR(U3="غائب",U3="بعذر")</formula>
    </cfRule>
    <cfRule type="expression" priority="58" aboveAverage="0" equalAverage="0" bottom="0" percent="0" rank="0" text="" dxfId="2">
      <formula>AND(ISNUMBER(U3),U3&lt;الإعدادات!$B$2*الإعدادات!$B$4/100)</formula>
    </cfRule>
  </conditionalFormatting>
  <conditionalFormatting sqref="V3:V203">
    <cfRule type="expression" priority="59" aboveAverage="0" equalAverage="0" bottom="0" percent="0" rank="0" text="" dxfId="0">
      <formula>V3="محجوب"</formula>
    </cfRule>
    <cfRule type="expression" priority="60" aboveAverage="0" equalAverage="0" bottom="0" percent="0" rank="0" text="" dxfId="1">
      <formula>OR(V3="غائب",V3="بعذر")</formula>
    </cfRule>
    <cfRule type="expression" priority="61" aboveAverage="0" equalAverage="0" bottom="0" percent="0" rank="0" text="" dxfId="2">
      <formula>AND(ISNUMBER(V3),V3&lt;الإعدادات!$B$3*الإعدادات!$B$4/100)</formula>
    </cfRule>
  </conditionalFormatting>
  <conditionalFormatting sqref="W3:W203">
    <cfRule type="expression" priority="62" aboveAverage="0" equalAverage="0" bottom="0" percent="0" rank="0" text="" dxfId="0">
      <formula>W3="محجوب"</formula>
    </cfRule>
    <cfRule type="expression" priority="63" aboveAverage="0" equalAverage="0" bottom="0" percent="0" rank="0" text="" dxfId="1">
      <formula>OR(W3="غائب",W3="بعذر")</formula>
    </cfRule>
    <cfRule type="expression" priority="64" aboveAverage="0" equalAverage="0" bottom="0" percent="0" rank="0" text="" dxfId="2">
      <formula>AND(ISNUMBER(W3),W3&lt;الإعدادات!$B$2*الإعدادات!$B$4/100)</formula>
    </cfRule>
  </conditionalFormatting>
  <dataValidations count="21"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C3:C203" type="custom">
      <formula1>OR(C3="",AND(ISNUMBER(C3),C3&gt;=0,C3&lt;=الإعدادات!$B$2),C3="غائب",C3="بعذر",C3="محجوب")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D3:D203" type="custom">
      <formula1>OR(D3="",AND(ISNUMBER(D3),D3&gt;=0,D3&lt;=الإعدادات!$B$3),D3="غائب",D3="بعذر",D3="محجوب")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E3:E203" type="custom">
      <formula1>OR(E3="",AND(ISNUMBER(E3),E3&gt;=0,E3&lt;=الإعدادات!$B$2),E3="غائب",E3="بعذر",E3="محجوب")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F3:F203" type="custom">
      <formula1>OR(F3="",AND(ISNUMBER(F3),F3&gt;=0,F3&lt;=الإعدادات!$B$2),F3="غائب",F3="بعذر",F3="محجوب")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G3:G203" type="custom">
      <formula1>OR(G3="",AND(ISNUMBER(G3),G3&gt;=0,G3&lt;=الإعدادات!$B$3),G3="غائب",G3="بعذر",G3="محجوب")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H3:H203" type="custom">
      <formula1>OR(H3="",AND(ISNUMBER(H3),H3&gt;=0,H3&lt;=الإعدادات!$B$2),H3="غائب",H3="بعذر",H3="محجوب")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I3:I203" type="custom">
      <formula1>OR(I3="",AND(ISNUMBER(I3),I3&gt;=0,I3&lt;=الإعدادات!$B$2),I3="غائب",I3="بعذر",I3="محجوب")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J3:J203" type="custom">
      <formula1>OR(J3="",AND(ISNUMBER(J3),J3&gt;=0,J3&lt;=الإعدادات!$B$3),J3="غائب",J3="بعذر",J3="محجوب")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K3:K203" type="custom">
      <formula1>OR(K3="",AND(ISNUMBER(K3),K3&gt;=0,K3&lt;=الإعدادات!$B$2),K3="غائب",K3="بعذر",K3="محجوب")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L3:L203" type="custom">
      <formula1>OR(L3="",AND(ISNUMBER(L3),L3&gt;=0,L3&lt;=الإعدادات!$B$2),L3="غائب",L3="بعذر",L3="محجوب")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M3:M203" type="custom">
      <formula1>OR(M3="",AND(ISNUMBER(M3),M3&gt;=0,M3&lt;=الإعدادات!$B$3),M3="غائب",M3="بعذر",M3="محجوب")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N3:N203" type="custom">
      <formula1>OR(N3="",AND(ISNUMBER(N3),N3&gt;=0,N3&lt;=الإعدادات!$B$2),N3="غائب",N3="بعذر",N3="محجوب")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O3:O203" type="custom">
      <formula1>OR(O3="",AND(ISNUMBER(O3),O3&gt;=0,O3&lt;=الإعدادات!$B$2),O3="غائب",O3="بعذر",O3="محجوب")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P3:P203" type="custom">
      <formula1>OR(P3="",AND(ISNUMBER(P3),P3&gt;=0,P3&lt;=الإعدادات!$B$3),P3="غائب",P3="بعذر",P3="محجوب")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Q3:Q203" type="custom">
      <formula1>OR(Q3="",AND(ISNUMBER(Q3),Q3&gt;=0,Q3&lt;=الإعدادات!$B$2),Q3="غائب",Q3="بعذر",Q3="محجوب")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R3:R203" type="custom">
      <formula1>OR(R3="",AND(ISNUMBER(R3),R3&gt;=0,R3&lt;=الإعدادات!$B$2),R3="غائب",R3="بعذر",R3="محجوب")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S3:S203" type="custom">
      <formula1>OR(S3="",AND(ISNUMBER(S3),S3&gt;=0,S3&lt;=الإعدادات!$B$3),S3="غائب",S3="بعذر",S3="محجوب")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T3:T203" type="custom">
      <formula1>OR(T3="",AND(ISNUMBER(T3),T3&gt;=0,T3&lt;=الإعدادات!$B$2),T3="غائب",T3="بعذر",T3="محجوب")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U3:U203" type="custom">
      <formula1>OR(U3="",AND(ISNUMBER(U3),U3&gt;=0,U3&lt;=الإعدادات!$B$2),U3="غائب",U3="بعذر",U3="محجوب")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V3:V203" type="custom">
      <formula1>OR(V3="",AND(ISNUMBER(V3),V3&gt;=0,V3&lt;=الإعدادات!$B$3),V3="غائب",V3="بعذر",V3="محجوب")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W3:W203" type="custom">
      <formula1>OR(W3="",AND(ISNUMBER(W3),W3&gt;=0,W3&lt;=الإعدادات!$B$2),W3="غائب",W3="بعذر",W3="محجوب")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9D6B"/>
    <pageSetUpPr fitToPage="false"/>
  </sheetPr>
  <dimension ref="A1:L6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6" min="4" style="0" width="9"/>
    <col collapsed="false" customWidth="true" hidden="false" outlineLevel="0" max="8" min="7" style="0" width="13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5"/>
  </cols>
  <sheetData>
    <row r="1" customFormat="false" ht="15" hidden="false" customHeight="false" outlineLevel="0" collapsed="false">
      <c r="A1" s="12" t="s">
        <v>62</v>
      </c>
    </row>
    <row r="2" customFormat="false" ht="23.85" hidden="false" customHeight="false" outlineLevel="0" collapsed="false">
      <c r="A2" s="13" t="s">
        <v>63</v>
      </c>
      <c r="C2" s="13" t="s">
        <v>64</v>
      </c>
      <c r="E2" s="13" t="s">
        <v>65</v>
      </c>
      <c r="G2" s="13" t="s">
        <v>66</v>
      </c>
      <c r="I2" s="13" t="s">
        <v>67</v>
      </c>
      <c r="K2" s="13" t="s">
        <v>68</v>
      </c>
    </row>
    <row r="3" customFormat="false" ht="15" hidden="false" customHeight="false" outlineLevel="0" collapsed="false">
      <c r="A3" s="14" t="n">
        <f aca="false">COUNTIF($L$5:$L$60,"ناجح")</f>
        <v>0</v>
      </c>
      <c r="C3" s="14" t="n">
        <f aca="false">COUNTIF($L$5:$L$60,"ناجح برأفة")</f>
        <v>0</v>
      </c>
      <c r="E3" s="14" t="n">
        <f aca="false">COUNTIF($L$5:$L$60,"إعادة مطلوبة")</f>
        <v>0</v>
      </c>
      <c r="G3" s="14" t="n">
        <f aca="false">COUNTIF($L$5:$L$60,"راسب")</f>
        <v>0</v>
      </c>
      <c r="I3" s="14" t="n">
        <f aca="false">COUNTIF($L$5:$L$60,"قيد المراجعة")</f>
        <v>0</v>
      </c>
      <c r="K3" s="14" t="n">
        <f aca="false">COUNTIF($L$5:$L$60,"لم تكتمل")</f>
        <v>56</v>
      </c>
    </row>
    <row r="4" customFormat="false" ht="33.75" hidden="false" customHeight="true" outlineLevel="0" collapsed="false">
      <c r="A4" s="2" t="s">
        <v>23</v>
      </c>
      <c r="B4" s="2" t="s">
        <v>24</v>
      </c>
      <c r="C4" s="2" t="s">
        <v>69</v>
      </c>
      <c r="D4" s="2" t="s">
        <v>70</v>
      </c>
      <c r="E4" s="2" t="s">
        <v>71</v>
      </c>
      <c r="F4" s="2" t="s">
        <v>72</v>
      </c>
      <c r="G4" s="2" t="s">
        <v>73</v>
      </c>
      <c r="H4" s="2" t="s">
        <v>74</v>
      </c>
      <c r="I4" s="2" t="s">
        <v>75</v>
      </c>
      <c r="J4" s="2" t="s">
        <v>76</v>
      </c>
      <c r="K4" s="2" t="s">
        <v>77</v>
      </c>
      <c r="L4" s="2" t="s">
        <v>78</v>
      </c>
    </row>
    <row r="5" customFormat="false" ht="15" hidden="false" customHeight="false" outlineLevel="0" collapsed="false">
      <c r="A5" s="15" t="s">
        <v>46</v>
      </c>
      <c r="B5" s="16" t="str">
        <f aca="false">INDEX(الدرجات!$B$3:$B$10,MATCH($A5,الدرجات!$A$3:$A$10,0))</f>
        <v>مينا جرجس</v>
      </c>
      <c r="C5" s="16" t="str">
        <f aca="false">الإعدادات!$B$19</f>
        <v>العقيدة المسيحية</v>
      </c>
      <c r="D5" s="17" t="str">
        <f aca="false">IF(INDEX(الدرجات!$C$3:$W$10,MATCH($A5,الدرجات!$A$3:$A$10,0),1)="","",INDEX(الدرجات!$C$3:$W$10,MATCH($A5,الدرجات!$A$3:$A$10,0),1))</f>
        <v/>
      </c>
      <c r="E5" s="17" t="str">
        <f aca="false">IF(INDEX(الدرجات!$C$3:$W$10,MATCH($A5,الدرجات!$A$3:$A$10,0),2)="","",INDEX(الدرجات!$C$3:$W$10,MATCH($A5,الدرجات!$A$3:$A$10,0),2))</f>
        <v/>
      </c>
      <c r="F5" s="17" t="str">
        <f aca="false">IF(INDEX(الدرجات!$C$3:$W$10,MATCH($A5,الدرجات!$A$3:$A$10,0),3)="","",INDEX(الدرجات!$C$3:$W$10,MATCH($A5,الدرجات!$A$3:$A$10,0),3))</f>
        <v/>
      </c>
      <c r="G5" s="15" t="str">
        <f aca="false">IF(OR(D5="محجوب",E5="محجوب",F5="محجوب"),"",IF(ISNUMBER(F5),IF(الإعدادات!$B$6="سقف",MIN(F5,الإعدادات!$B$10),F5),IF(ISNUMBER(D5),D5,"")))</f>
        <v/>
      </c>
      <c r="H5" s="15" t="str">
        <f aca="false">IF(OR(D5="محجوب",E5="محجوب",F5="محجوب"),"",IF(AND(ISNUMBER(G5),ISNUMBER(E5)),G5+E5,""))</f>
        <v/>
      </c>
      <c r="I5" s="15" t="str">
        <f aca="false">IF(H5="","",IF(H5&gt;=الإعدادات!$B$8,0,IF(ROUND(الإعدادات!$B$8-H5,2)&lt;=الإعدادات!$B$9,ROUND(الإعدادات!$B$8-H5,2),0)))</f>
        <v/>
      </c>
      <c r="J5" s="15" t="str">
        <f aca="false">IF(H5="","",H5+I5)</f>
        <v/>
      </c>
      <c r="K5" s="18" t="str">
        <f aca="false">IF(J5="","",J5/الإعدادات!$B$7)</f>
        <v/>
      </c>
      <c r="L5" s="15" t="str">
        <f aca="false">IF(OR(D5="محجوب",E5="محجوب",F5="محجوب"),"قيد المراجعة",IF(J5="",IF(OR(D5="غائب",D5="بعذر"),"إعادة مطلوبة","لم تكتمل"),IF(ROUND(J5,2)&gt;=ROUND(الإعدادات!$B$8,2),IF(I5&gt;0,"ناجح برأفة","ناجح"),IF(ISNUMBER(F5),"راسب","إعادة مطلوبة"))))</f>
        <v>لم تكتمل</v>
      </c>
    </row>
    <row r="6" customFormat="false" ht="15" hidden="false" customHeight="false" outlineLevel="0" collapsed="false">
      <c r="A6" s="15" t="s">
        <v>46</v>
      </c>
      <c r="B6" s="16" t="str">
        <f aca="false">INDEX(الدرجات!$B$3:$B$10,MATCH($A6,الدرجات!$A$3:$A$10,0))</f>
        <v>مينا جرجس</v>
      </c>
      <c r="C6" s="16" t="str">
        <f aca="false">الإعدادات!$B$20</f>
        <v>العهد القديم</v>
      </c>
      <c r="D6" s="17" t="str">
        <f aca="false">IF(INDEX(الدرجات!$C$3:$W$10,MATCH($A6,الدرجات!$A$3:$A$10,0),4)="","",INDEX(الدرجات!$C$3:$W$10,MATCH($A6,الدرجات!$A$3:$A$10,0),4))</f>
        <v/>
      </c>
      <c r="E6" s="17" t="str">
        <f aca="false">IF(INDEX(الدرجات!$C$3:$W$10,MATCH($A6,الدرجات!$A$3:$A$10,0),5)="","",INDEX(الدرجات!$C$3:$W$10,MATCH($A6,الدرجات!$A$3:$A$10,0),5))</f>
        <v/>
      </c>
      <c r="F6" s="17" t="str">
        <f aca="false">IF(INDEX(الدرجات!$C$3:$W$10,MATCH($A6,الدرجات!$A$3:$A$10,0),6)="","",INDEX(الدرجات!$C$3:$W$10,MATCH($A6,الدرجات!$A$3:$A$10,0),6))</f>
        <v/>
      </c>
      <c r="G6" s="15" t="str">
        <f aca="false">IF(OR(D6="محجوب",E6="محجوب",F6="محجوب"),"",IF(ISNUMBER(F6),IF(الإعدادات!$B$6="سقف",MIN(F6,الإعدادات!$B$10),F6),IF(ISNUMBER(D6),D6,"")))</f>
        <v/>
      </c>
      <c r="H6" s="15" t="str">
        <f aca="false">IF(OR(D6="محجوب",E6="محجوب",F6="محجوب"),"",IF(AND(ISNUMBER(G6),ISNUMBER(E6)),G6+E6,""))</f>
        <v/>
      </c>
      <c r="I6" s="15" t="str">
        <f aca="false">IF(H6="","",IF(H6&gt;=الإعدادات!$B$8,0,IF(ROUND(الإعدادات!$B$8-H6,2)&lt;=الإعدادات!$B$9,ROUND(الإعدادات!$B$8-H6,2),0)))</f>
        <v/>
      </c>
      <c r="J6" s="15" t="str">
        <f aca="false">IF(H6="","",H6+I6)</f>
        <v/>
      </c>
      <c r="K6" s="18" t="str">
        <f aca="false">IF(J6="","",J6/الإعدادات!$B$7)</f>
        <v/>
      </c>
      <c r="L6" s="15" t="str">
        <f aca="false">IF(OR(D6="محجوب",E6="محجوب",F6="محجوب"),"قيد المراجعة",IF(J6="",IF(OR(D6="غائب",D6="بعذر"),"إعادة مطلوبة","لم تكتمل"),IF(ROUND(J6,2)&gt;=ROUND(الإعدادات!$B$8,2),IF(I6&gt;0,"ناجح برأفة","ناجح"),IF(ISNUMBER(F6),"راسب","إعادة مطلوبة"))))</f>
        <v>لم تكتمل</v>
      </c>
    </row>
    <row r="7" customFormat="false" ht="15" hidden="false" customHeight="false" outlineLevel="0" collapsed="false">
      <c r="A7" s="15" t="s">
        <v>46</v>
      </c>
      <c r="B7" s="16" t="str">
        <f aca="false">INDEX(الدرجات!$B$3:$B$10,MATCH($A7,الدرجات!$A$3:$A$10,0))</f>
        <v>مينا جرجس</v>
      </c>
      <c r="C7" s="16" t="str">
        <f aca="false">الإعدادات!$B$21</f>
        <v>العهد الجديد</v>
      </c>
      <c r="D7" s="17" t="str">
        <f aca="false">IF(INDEX(الدرجات!$C$3:$W$10,MATCH($A7,الدرجات!$A$3:$A$10,0),7)="","",INDEX(الدرجات!$C$3:$W$10,MATCH($A7,الدرجات!$A$3:$A$10,0),7))</f>
        <v/>
      </c>
      <c r="E7" s="17" t="str">
        <f aca="false">IF(INDEX(الدرجات!$C$3:$W$10,MATCH($A7,الدرجات!$A$3:$A$10,0),8)="","",INDEX(الدرجات!$C$3:$W$10,MATCH($A7,الدرجات!$A$3:$A$10,0),8))</f>
        <v/>
      </c>
      <c r="F7" s="17" t="str">
        <f aca="false">IF(INDEX(الدرجات!$C$3:$W$10,MATCH($A7,الدرجات!$A$3:$A$10,0),9)="","",INDEX(الدرجات!$C$3:$W$10,MATCH($A7,الدرجات!$A$3:$A$10,0),9))</f>
        <v/>
      </c>
      <c r="G7" s="15" t="str">
        <f aca="false">IF(OR(D7="محجوب",E7="محجوب",F7="محجوب"),"",IF(ISNUMBER(F7),IF(الإعدادات!$B$6="سقف",MIN(F7,الإعدادات!$B$10),F7),IF(ISNUMBER(D7),D7,"")))</f>
        <v/>
      </c>
      <c r="H7" s="15" t="str">
        <f aca="false">IF(OR(D7="محجوب",E7="محجوب",F7="محجوب"),"",IF(AND(ISNUMBER(G7),ISNUMBER(E7)),G7+E7,""))</f>
        <v/>
      </c>
      <c r="I7" s="15" t="str">
        <f aca="false">IF(H7="","",IF(H7&gt;=الإعدادات!$B$8,0,IF(ROUND(الإعدادات!$B$8-H7,2)&lt;=الإعدادات!$B$9,ROUND(الإعدادات!$B$8-H7,2),0)))</f>
        <v/>
      </c>
      <c r="J7" s="15" t="str">
        <f aca="false">IF(H7="","",H7+I7)</f>
        <v/>
      </c>
      <c r="K7" s="18" t="str">
        <f aca="false">IF(J7="","",J7/الإعدادات!$B$7)</f>
        <v/>
      </c>
      <c r="L7" s="15" t="str">
        <f aca="false">IF(OR(D7="محجوب",E7="محجوب",F7="محجوب"),"قيد المراجعة",IF(J7="",IF(OR(D7="غائب",D7="بعذر"),"إعادة مطلوبة","لم تكتمل"),IF(ROUND(J7,2)&gt;=ROUND(الإعدادات!$B$8,2),IF(I7&gt;0,"ناجح برأفة","ناجح"),IF(ISNUMBER(F7),"راسب","إعادة مطلوبة"))))</f>
        <v>لم تكتمل</v>
      </c>
    </row>
    <row r="8" customFormat="false" ht="15" hidden="false" customHeight="false" outlineLevel="0" collapsed="false">
      <c r="A8" s="15" t="s">
        <v>46</v>
      </c>
      <c r="B8" s="16" t="str">
        <f aca="false">INDEX(الدرجات!$B$3:$B$10,MATCH($A8,الدرجات!$A$3:$A$10,0))</f>
        <v>مينا جرجس</v>
      </c>
      <c r="C8" s="16" t="str">
        <f aca="false">الإعدادات!$B$22</f>
        <v>الطقوس والألحان</v>
      </c>
      <c r="D8" s="17" t="str">
        <f aca="false">IF(INDEX(الدرجات!$C$3:$W$10,MATCH($A8,الدرجات!$A$3:$A$10,0),10)="","",INDEX(الدرجات!$C$3:$W$10,MATCH($A8,الدرجات!$A$3:$A$10,0),10))</f>
        <v/>
      </c>
      <c r="E8" s="17" t="str">
        <f aca="false">IF(INDEX(الدرجات!$C$3:$W$10,MATCH($A8,الدرجات!$A$3:$A$10,0),11)="","",INDEX(الدرجات!$C$3:$W$10,MATCH($A8,الدرجات!$A$3:$A$10,0),11))</f>
        <v/>
      </c>
      <c r="F8" s="17" t="str">
        <f aca="false">IF(INDEX(الدرجات!$C$3:$W$10,MATCH($A8,الدرجات!$A$3:$A$10,0),12)="","",INDEX(الدرجات!$C$3:$W$10,MATCH($A8,الدرجات!$A$3:$A$10,0),12))</f>
        <v/>
      </c>
      <c r="G8" s="15" t="str">
        <f aca="false">IF(OR(D8="محجوب",E8="محجوب",F8="محجوب"),"",IF(ISNUMBER(F8),IF(الإعدادات!$B$6="سقف",MIN(F8,الإعدادات!$B$10),F8),IF(ISNUMBER(D8),D8,"")))</f>
        <v/>
      </c>
      <c r="H8" s="15" t="str">
        <f aca="false">IF(OR(D8="محجوب",E8="محجوب",F8="محجوب"),"",IF(AND(ISNUMBER(G8),ISNUMBER(E8)),G8+E8,""))</f>
        <v/>
      </c>
      <c r="I8" s="15" t="str">
        <f aca="false">IF(H8="","",IF(H8&gt;=الإعدادات!$B$8,0,IF(ROUND(الإعدادات!$B$8-H8,2)&lt;=الإعدادات!$B$9,ROUND(الإعدادات!$B$8-H8,2),0)))</f>
        <v/>
      </c>
      <c r="J8" s="15" t="str">
        <f aca="false">IF(H8="","",H8+I8)</f>
        <v/>
      </c>
      <c r="K8" s="18" t="str">
        <f aca="false">IF(J8="","",J8/الإعدادات!$B$7)</f>
        <v/>
      </c>
      <c r="L8" s="15" t="str">
        <f aca="false">IF(OR(D8="محجوب",E8="محجوب",F8="محجوب"),"قيد المراجعة",IF(J8="",IF(OR(D8="غائب",D8="بعذر"),"إعادة مطلوبة","لم تكتمل"),IF(ROUND(J8,2)&gt;=ROUND(الإعدادات!$B$8,2),IF(I8&gt;0,"ناجح برأفة","ناجح"),IF(ISNUMBER(F8),"راسب","إعادة مطلوبة"))))</f>
        <v>لم تكتمل</v>
      </c>
    </row>
    <row r="9" customFormat="false" ht="15" hidden="false" customHeight="false" outlineLevel="0" collapsed="false">
      <c r="A9" s="15" t="s">
        <v>46</v>
      </c>
      <c r="B9" s="16" t="str">
        <f aca="false">INDEX(الدرجات!$B$3:$B$10,MATCH($A9,الدرجات!$A$3:$A$10,0))</f>
        <v>مينا جرجس</v>
      </c>
      <c r="C9" s="16" t="str">
        <f aca="false">الإعدادات!$B$23</f>
        <v>تاريخ الكنيسة</v>
      </c>
      <c r="D9" s="17" t="str">
        <f aca="false">IF(INDEX(الدرجات!$C$3:$W$10,MATCH($A9,الدرجات!$A$3:$A$10,0),13)="","",INDEX(الدرجات!$C$3:$W$10,MATCH($A9,الدرجات!$A$3:$A$10,0),13))</f>
        <v/>
      </c>
      <c r="E9" s="17" t="str">
        <f aca="false">IF(INDEX(الدرجات!$C$3:$W$10,MATCH($A9,الدرجات!$A$3:$A$10,0),14)="","",INDEX(الدرجات!$C$3:$W$10,MATCH($A9,الدرجات!$A$3:$A$10,0),14))</f>
        <v/>
      </c>
      <c r="F9" s="17" t="str">
        <f aca="false">IF(INDEX(الدرجات!$C$3:$W$10,MATCH($A9,الدرجات!$A$3:$A$10,0),15)="","",INDEX(الدرجات!$C$3:$W$10,MATCH($A9,الدرجات!$A$3:$A$10,0),15))</f>
        <v/>
      </c>
      <c r="G9" s="15" t="str">
        <f aca="false">IF(OR(D9="محجوب",E9="محجوب",F9="محجوب"),"",IF(ISNUMBER(F9),IF(الإعدادات!$B$6="سقف",MIN(F9,الإعدادات!$B$10),F9),IF(ISNUMBER(D9),D9,"")))</f>
        <v/>
      </c>
      <c r="H9" s="15" t="str">
        <f aca="false">IF(OR(D9="محجوب",E9="محجوب",F9="محجوب"),"",IF(AND(ISNUMBER(G9),ISNUMBER(E9)),G9+E9,""))</f>
        <v/>
      </c>
      <c r="I9" s="15" t="str">
        <f aca="false">IF(H9="","",IF(H9&gt;=الإعدادات!$B$8,0,IF(ROUND(الإعدادات!$B$8-H9,2)&lt;=الإعدادات!$B$9,ROUND(الإعدادات!$B$8-H9,2),0)))</f>
        <v/>
      </c>
      <c r="J9" s="15" t="str">
        <f aca="false">IF(H9="","",H9+I9)</f>
        <v/>
      </c>
      <c r="K9" s="18" t="str">
        <f aca="false">IF(J9="","",J9/الإعدادات!$B$7)</f>
        <v/>
      </c>
      <c r="L9" s="15" t="str">
        <f aca="false">IF(OR(D9="محجوب",E9="محجوب",F9="محجوب"),"قيد المراجعة",IF(J9="",IF(OR(D9="غائب",D9="بعذر"),"إعادة مطلوبة","لم تكتمل"),IF(ROUND(J9,2)&gt;=ROUND(الإعدادات!$B$8,2),IF(I9&gt;0,"ناجح برأفة","ناجح"),IF(ISNUMBER(F9),"راسب","إعادة مطلوبة"))))</f>
        <v>لم تكتمل</v>
      </c>
    </row>
    <row r="10" customFormat="false" ht="15" hidden="false" customHeight="false" outlineLevel="0" collapsed="false">
      <c r="A10" s="15" t="s">
        <v>46</v>
      </c>
      <c r="B10" s="16" t="str">
        <f aca="false">INDEX(الدرجات!$B$3:$B$10,MATCH($A10,الدرجات!$A$3:$A$10,0))</f>
        <v>مينا جرجس</v>
      </c>
      <c r="C10" s="16" t="str">
        <f aca="false">الإعدادات!$B$24</f>
        <v>الرعاية والافتقاد</v>
      </c>
      <c r="D10" s="17" t="str">
        <f aca="false">IF(INDEX(الدرجات!$C$3:$W$10,MATCH($A10,الدرجات!$A$3:$A$10,0),16)="","",INDEX(الدرجات!$C$3:$W$10,MATCH($A10,الدرجات!$A$3:$A$10,0),16))</f>
        <v/>
      </c>
      <c r="E10" s="17" t="str">
        <f aca="false">IF(INDEX(الدرجات!$C$3:$W$10,MATCH($A10,الدرجات!$A$3:$A$10,0),17)="","",INDEX(الدرجات!$C$3:$W$10,MATCH($A10,الدرجات!$A$3:$A$10,0),17))</f>
        <v/>
      </c>
      <c r="F10" s="17" t="str">
        <f aca="false">IF(INDEX(الدرجات!$C$3:$W$10,MATCH($A10,الدرجات!$A$3:$A$10,0),18)="","",INDEX(الدرجات!$C$3:$W$10,MATCH($A10,الدرجات!$A$3:$A$10,0),18))</f>
        <v/>
      </c>
      <c r="G10" s="15" t="str">
        <f aca="false">IF(OR(D10="محجوب",E10="محجوب",F10="محجوب"),"",IF(ISNUMBER(F10),IF(الإعدادات!$B$6="سقف",MIN(F10,الإعدادات!$B$10),F10),IF(ISNUMBER(D10),D10,"")))</f>
        <v/>
      </c>
      <c r="H10" s="15" t="str">
        <f aca="false">IF(OR(D10="محجوب",E10="محجوب",F10="محجوب"),"",IF(AND(ISNUMBER(G10),ISNUMBER(E10)),G10+E10,""))</f>
        <v/>
      </c>
      <c r="I10" s="15" t="str">
        <f aca="false">IF(H10="","",IF(H10&gt;=الإعدادات!$B$8,0,IF(ROUND(الإعدادات!$B$8-H10,2)&lt;=الإعدادات!$B$9,ROUND(الإعدادات!$B$8-H10,2),0)))</f>
        <v/>
      </c>
      <c r="J10" s="15" t="str">
        <f aca="false">IF(H10="","",H10+I10)</f>
        <v/>
      </c>
      <c r="K10" s="18" t="str">
        <f aca="false">IF(J10="","",J10/الإعدادات!$B$7)</f>
        <v/>
      </c>
      <c r="L10" s="15" t="str">
        <f aca="false">IF(OR(D10="محجوب",E10="محجوب",F10="محجوب"),"قيد المراجعة",IF(J10="",IF(OR(D10="غائب",D10="بعذر"),"إعادة مطلوبة","لم تكتمل"),IF(ROUND(J10,2)&gt;=ROUND(الإعدادات!$B$8,2),IF(I10&gt;0,"ناجح برأفة","ناجح"),IF(ISNUMBER(F10),"راسب","إعادة مطلوبة"))))</f>
        <v>لم تكتمل</v>
      </c>
    </row>
    <row r="11" customFormat="false" ht="15" hidden="false" customHeight="false" outlineLevel="0" collapsed="false">
      <c r="A11" s="15" t="s">
        <v>46</v>
      </c>
      <c r="B11" s="16" t="str">
        <f aca="false">INDEX(الدرجات!$B$3:$B$10,MATCH($A11,الدرجات!$A$3:$A$10,0))</f>
        <v>مينا جرجس</v>
      </c>
      <c r="C11" s="16" t="str">
        <f aca="false">الإعدادات!$B$25</f>
        <v>اللاهوت المقارن</v>
      </c>
      <c r="D11" s="17" t="str">
        <f aca="false">IF(INDEX(الدرجات!$C$3:$W$10,MATCH($A11,الدرجات!$A$3:$A$10,0),19)="","",INDEX(الدرجات!$C$3:$W$10,MATCH($A11,الدرجات!$A$3:$A$10,0),19))</f>
        <v/>
      </c>
      <c r="E11" s="17" t="str">
        <f aca="false">IF(INDEX(الدرجات!$C$3:$W$10,MATCH($A11,الدرجات!$A$3:$A$10,0),20)="","",INDEX(الدرجات!$C$3:$W$10,MATCH($A11,الدرجات!$A$3:$A$10,0),20))</f>
        <v/>
      </c>
      <c r="F11" s="17" t="str">
        <f aca="false">IF(INDEX(الدرجات!$C$3:$W$10,MATCH($A11,الدرجات!$A$3:$A$10,0),21)="","",INDEX(الدرجات!$C$3:$W$10,MATCH($A11,الدرجات!$A$3:$A$10,0),21))</f>
        <v/>
      </c>
      <c r="G11" s="15" t="str">
        <f aca="false">IF(OR(D11="محجوب",E11="محجوب",F11="محجوب"),"",IF(ISNUMBER(F11),IF(الإعدادات!$B$6="سقف",MIN(F11,الإعدادات!$B$10),F11),IF(ISNUMBER(D11),D11,"")))</f>
        <v/>
      </c>
      <c r="H11" s="15" t="str">
        <f aca="false">IF(OR(D11="محجوب",E11="محجوب",F11="محجوب"),"",IF(AND(ISNUMBER(G11),ISNUMBER(E11)),G11+E11,""))</f>
        <v/>
      </c>
      <c r="I11" s="15" t="str">
        <f aca="false">IF(H11="","",IF(H11&gt;=الإعدادات!$B$8,0,IF(ROUND(الإعدادات!$B$8-H11,2)&lt;=الإعدادات!$B$9,ROUND(الإعدادات!$B$8-H11,2),0)))</f>
        <v/>
      </c>
      <c r="J11" s="15" t="str">
        <f aca="false">IF(H11="","",H11+I11)</f>
        <v/>
      </c>
      <c r="K11" s="18" t="str">
        <f aca="false">IF(J11="","",J11/الإعدادات!$B$7)</f>
        <v/>
      </c>
      <c r="L11" s="15" t="str">
        <f aca="false">IF(OR(D11="محجوب",E11="محجوب",F11="محجوب"),"قيد المراجعة",IF(J11="",IF(OR(D11="غائب",D11="بعذر"),"إعادة مطلوبة","لم تكتمل"),IF(ROUND(J11,2)&gt;=ROUND(الإعدادات!$B$8,2),IF(I11&gt;0,"ناجح برأفة","ناجح"),IF(ISNUMBER(F11),"راسب","إعادة مطلوبة"))))</f>
        <v>لم تكتمل</v>
      </c>
    </row>
    <row r="12" customFormat="false" ht="15" hidden="false" customHeight="false" outlineLevel="0" collapsed="false">
      <c r="A12" s="15" t="s">
        <v>48</v>
      </c>
      <c r="B12" s="16" t="str">
        <f aca="false">INDEX(الدرجات!$B$3:$B$10,MATCH($A12,الدرجات!$A$3:$A$10,0))</f>
        <v>مريم سمير</v>
      </c>
      <c r="C12" s="16" t="str">
        <f aca="false">الإعدادات!$B$19</f>
        <v>العقيدة المسيحية</v>
      </c>
      <c r="D12" s="17" t="str">
        <f aca="false">IF(INDEX(الدرجات!$C$3:$W$10,MATCH($A12,الدرجات!$A$3:$A$10,0),1)="","",INDEX(الدرجات!$C$3:$W$10,MATCH($A12,الدرجات!$A$3:$A$10,0),1))</f>
        <v/>
      </c>
      <c r="E12" s="17" t="str">
        <f aca="false">IF(INDEX(الدرجات!$C$3:$W$10,MATCH($A12,الدرجات!$A$3:$A$10,0),2)="","",INDEX(الدرجات!$C$3:$W$10,MATCH($A12,الدرجات!$A$3:$A$10,0),2))</f>
        <v/>
      </c>
      <c r="F12" s="17" t="str">
        <f aca="false">IF(INDEX(الدرجات!$C$3:$W$10,MATCH($A12,الدرجات!$A$3:$A$10,0),3)="","",INDEX(الدرجات!$C$3:$W$10,MATCH($A12,الدرجات!$A$3:$A$10,0),3))</f>
        <v/>
      </c>
      <c r="G12" s="15" t="str">
        <f aca="false">IF(OR(D12="محجوب",E12="محجوب",F12="محجوب"),"",IF(ISNUMBER(F12),IF(الإعدادات!$B$6="سقف",MIN(F12,الإعدادات!$B$10),F12),IF(ISNUMBER(D12),D12,"")))</f>
        <v/>
      </c>
      <c r="H12" s="15" t="str">
        <f aca="false">IF(OR(D12="محجوب",E12="محجوب",F12="محجوب"),"",IF(AND(ISNUMBER(G12),ISNUMBER(E12)),G12+E12,""))</f>
        <v/>
      </c>
      <c r="I12" s="15" t="str">
        <f aca="false">IF(H12="","",IF(H12&gt;=الإعدادات!$B$8,0,IF(ROUND(الإعدادات!$B$8-H12,2)&lt;=الإعدادات!$B$9,ROUND(الإعدادات!$B$8-H12,2),0)))</f>
        <v/>
      </c>
      <c r="J12" s="15" t="str">
        <f aca="false">IF(H12="","",H12+I12)</f>
        <v/>
      </c>
      <c r="K12" s="18" t="str">
        <f aca="false">IF(J12="","",J12/الإعدادات!$B$7)</f>
        <v/>
      </c>
      <c r="L12" s="15" t="str">
        <f aca="false">IF(OR(D12="محجوب",E12="محجوب",F12="محجوب"),"قيد المراجعة",IF(J12="",IF(OR(D12="غائب",D12="بعذر"),"إعادة مطلوبة","لم تكتمل"),IF(ROUND(J12,2)&gt;=ROUND(الإعدادات!$B$8,2),IF(I12&gt;0,"ناجح برأفة","ناجح"),IF(ISNUMBER(F12),"راسب","إعادة مطلوبة"))))</f>
        <v>لم تكتمل</v>
      </c>
    </row>
    <row r="13" customFormat="false" ht="15" hidden="false" customHeight="false" outlineLevel="0" collapsed="false">
      <c r="A13" s="15" t="s">
        <v>48</v>
      </c>
      <c r="B13" s="16" t="str">
        <f aca="false">INDEX(الدرجات!$B$3:$B$10,MATCH($A13,الدرجات!$A$3:$A$10,0))</f>
        <v>مريم سمير</v>
      </c>
      <c r="C13" s="16" t="str">
        <f aca="false">الإعدادات!$B$20</f>
        <v>العهد القديم</v>
      </c>
      <c r="D13" s="17" t="str">
        <f aca="false">IF(INDEX(الدرجات!$C$3:$W$10,MATCH($A13,الدرجات!$A$3:$A$10,0),4)="","",INDEX(الدرجات!$C$3:$W$10,MATCH($A13,الدرجات!$A$3:$A$10,0),4))</f>
        <v/>
      </c>
      <c r="E13" s="17" t="str">
        <f aca="false">IF(INDEX(الدرجات!$C$3:$W$10,MATCH($A13,الدرجات!$A$3:$A$10,0),5)="","",INDEX(الدرجات!$C$3:$W$10,MATCH($A13,الدرجات!$A$3:$A$10,0),5))</f>
        <v/>
      </c>
      <c r="F13" s="17" t="str">
        <f aca="false">IF(INDEX(الدرجات!$C$3:$W$10,MATCH($A13,الدرجات!$A$3:$A$10,0),6)="","",INDEX(الدرجات!$C$3:$W$10,MATCH($A13,الدرجات!$A$3:$A$10,0),6))</f>
        <v/>
      </c>
      <c r="G13" s="15" t="str">
        <f aca="false">IF(OR(D13="محجوب",E13="محجوب",F13="محجوب"),"",IF(ISNUMBER(F13),IF(الإعدادات!$B$6="سقف",MIN(F13,الإعدادات!$B$10),F13),IF(ISNUMBER(D13),D13,"")))</f>
        <v/>
      </c>
      <c r="H13" s="15" t="str">
        <f aca="false">IF(OR(D13="محجوب",E13="محجوب",F13="محجوب"),"",IF(AND(ISNUMBER(G13),ISNUMBER(E13)),G13+E13,""))</f>
        <v/>
      </c>
      <c r="I13" s="15" t="str">
        <f aca="false">IF(H13="","",IF(H13&gt;=الإعدادات!$B$8,0,IF(ROUND(الإعدادات!$B$8-H13,2)&lt;=الإعدادات!$B$9,ROUND(الإعدادات!$B$8-H13,2),0)))</f>
        <v/>
      </c>
      <c r="J13" s="15" t="str">
        <f aca="false">IF(H13="","",H13+I13)</f>
        <v/>
      </c>
      <c r="K13" s="18" t="str">
        <f aca="false">IF(J13="","",J13/الإعدادات!$B$7)</f>
        <v/>
      </c>
      <c r="L13" s="15" t="str">
        <f aca="false">IF(OR(D13="محجوب",E13="محجوب",F13="محجوب"),"قيد المراجعة",IF(J13="",IF(OR(D13="غائب",D13="بعذر"),"إعادة مطلوبة","لم تكتمل"),IF(ROUND(J13,2)&gt;=ROUND(الإعدادات!$B$8,2),IF(I13&gt;0,"ناجح برأفة","ناجح"),IF(ISNUMBER(F13),"راسب","إعادة مطلوبة"))))</f>
        <v>لم تكتمل</v>
      </c>
    </row>
    <row r="14" customFormat="false" ht="15" hidden="false" customHeight="false" outlineLevel="0" collapsed="false">
      <c r="A14" s="15" t="s">
        <v>48</v>
      </c>
      <c r="B14" s="16" t="str">
        <f aca="false">INDEX(الدرجات!$B$3:$B$10,MATCH($A14,الدرجات!$A$3:$A$10,0))</f>
        <v>مريم سمير</v>
      </c>
      <c r="C14" s="16" t="str">
        <f aca="false">الإعدادات!$B$21</f>
        <v>العهد الجديد</v>
      </c>
      <c r="D14" s="17" t="str">
        <f aca="false">IF(INDEX(الدرجات!$C$3:$W$10,MATCH($A14,الدرجات!$A$3:$A$10,0),7)="","",INDEX(الدرجات!$C$3:$W$10,MATCH($A14,الدرجات!$A$3:$A$10,0),7))</f>
        <v/>
      </c>
      <c r="E14" s="17" t="str">
        <f aca="false">IF(INDEX(الدرجات!$C$3:$W$10,MATCH($A14,الدرجات!$A$3:$A$10,0),8)="","",INDEX(الدرجات!$C$3:$W$10,MATCH($A14,الدرجات!$A$3:$A$10,0),8))</f>
        <v/>
      </c>
      <c r="F14" s="17" t="str">
        <f aca="false">IF(INDEX(الدرجات!$C$3:$W$10,MATCH($A14,الدرجات!$A$3:$A$10,0),9)="","",INDEX(الدرجات!$C$3:$W$10,MATCH($A14,الدرجات!$A$3:$A$10,0),9))</f>
        <v/>
      </c>
      <c r="G14" s="15" t="str">
        <f aca="false">IF(OR(D14="محجوب",E14="محجوب",F14="محجوب"),"",IF(ISNUMBER(F14),IF(الإعدادات!$B$6="سقف",MIN(F14,الإعدادات!$B$10),F14),IF(ISNUMBER(D14),D14,"")))</f>
        <v/>
      </c>
      <c r="H14" s="15" t="str">
        <f aca="false">IF(OR(D14="محجوب",E14="محجوب",F14="محجوب"),"",IF(AND(ISNUMBER(G14),ISNUMBER(E14)),G14+E14,""))</f>
        <v/>
      </c>
      <c r="I14" s="15" t="str">
        <f aca="false">IF(H14="","",IF(H14&gt;=الإعدادات!$B$8,0,IF(ROUND(الإعدادات!$B$8-H14,2)&lt;=الإعدادات!$B$9,ROUND(الإعدادات!$B$8-H14,2),0)))</f>
        <v/>
      </c>
      <c r="J14" s="15" t="str">
        <f aca="false">IF(H14="","",H14+I14)</f>
        <v/>
      </c>
      <c r="K14" s="18" t="str">
        <f aca="false">IF(J14="","",J14/الإعدادات!$B$7)</f>
        <v/>
      </c>
      <c r="L14" s="15" t="str">
        <f aca="false">IF(OR(D14="محجوب",E14="محجوب",F14="محجوب"),"قيد المراجعة",IF(J14="",IF(OR(D14="غائب",D14="بعذر"),"إعادة مطلوبة","لم تكتمل"),IF(ROUND(J14,2)&gt;=ROUND(الإعدادات!$B$8,2),IF(I14&gt;0,"ناجح برأفة","ناجح"),IF(ISNUMBER(F14),"راسب","إعادة مطلوبة"))))</f>
        <v>لم تكتمل</v>
      </c>
    </row>
    <row r="15" customFormat="false" ht="15" hidden="false" customHeight="false" outlineLevel="0" collapsed="false">
      <c r="A15" s="15" t="s">
        <v>48</v>
      </c>
      <c r="B15" s="16" t="str">
        <f aca="false">INDEX(الدرجات!$B$3:$B$10,MATCH($A15,الدرجات!$A$3:$A$10,0))</f>
        <v>مريم سمير</v>
      </c>
      <c r="C15" s="16" t="str">
        <f aca="false">الإعدادات!$B$22</f>
        <v>الطقوس والألحان</v>
      </c>
      <c r="D15" s="17" t="str">
        <f aca="false">IF(INDEX(الدرجات!$C$3:$W$10,MATCH($A15,الدرجات!$A$3:$A$10,0),10)="","",INDEX(الدرجات!$C$3:$W$10,MATCH($A15,الدرجات!$A$3:$A$10,0),10))</f>
        <v/>
      </c>
      <c r="E15" s="17" t="str">
        <f aca="false">IF(INDEX(الدرجات!$C$3:$W$10,MATCH($A15,الدرجات!$A$3:$A$10,0),11)="","",INDEX(الدرجات!$C$3:$W$10,MATCH($A15,الدرجات!$A$3:$A$10,0),11))</f>
        <v/>
      </c>
      <c r="F15" s="17" t="str">
        <f aca="false">IF(INDEX(الدرجات!$C$3:$W$10,MATCH($A15,الدرجات!$A$3:$A$10,0),12)="","",INDEX(الدرجات!$C$3:$W$10,MATCH($A15,الدرجات!$A$3:$A$10,0),12))</f>
        <v/>
      </c>
      <c r="G15" s="15" t="str">
        <f aca="false">IF(OR(D15="محجوب",E15="محجوب",F15="محجوب"),"",IF(ISNUMBER(F15),IF(الإعدادات!$B$6="سقف",MIN(F15,الإعدادات!$B$10),F15),IF(ISNUMBER(D15),D15,"")))</f>
        <v/>
      </c>
      <c r="H15" s="15" t="str">
        <f aca="false">IF(OR(D15="محجوب",E15="محجوب",F15="محجوب"),"",IF(AND(ISNUMBER(G15),ISNUMBER(E15)),G15+E15,""))</f>
        <v/>
      </c>
      <c r="I15" s="15" t="str">
        <f aca="false">IF(H15="","",IF(H15&gt;=الإعدادات!$B$8,0,IF(ROUND(الإعدادات!$B$8-H15,2)&lt;=الإعدادات!$B$9,ROUND(الإعدادات!$B$8-H15,2),0)))</f>
        <v/>
      </c>
      <c r="J15" s="15" t="str">
        <f aca="false">IF(H15="","",H15+I15)</f>
        <v/>
      </c>
      <c r="K15" s="18" t="str">
        <f aca="false">IF(J15="","",J15/الإعدادات!$B$7)</f>
        <v/>
      </c>
      <c r="L15" s="15" t="str">
        <f aca="false">IF(OR(D15="محجوب",E15="محجوب",F15="محجوب"),"قيد المراجعة",IF(J15="",IF(OR(D15="غائب",D15="بعذر"),"إعادة مطلوبة","لم تكتمل"),IF(ROUND(J15,2)&gt;=ROUND(الإعدادات!$B$8,2),IF(I15&gt;0,"ناجح برأفة","ناجح"),IF(ISNUMBER(F15),"راسب","إعادة مطلوبة"))))</f>
        <v>لم تكتمل</v>
      </c>
    </row>
    <row r="16" customFormat="false" ht="15" hidden="false" customHeight="false" outlineLevel="0" collapsed="false">
      <c r="A16" s="15" t="s">
        <v>48</v>
      </c>
      <c r="B16" s="16" t="str">
        <f aca="false">INDEX(الدرجات!$B$3:$B$10,MATCH($A16,الدرجات!$A$3:$A$10,0))</f>
        <v>مريم سمير</v>
      </c>
      <c r="C16" s="16" t="str">
        <f aca="false">الإعدادات!$B$23</f>
        <v>تاريخ الكنيسة</v>
      </c>
      <c r="D16" s="17" t="str">
        <f aca="false">IF(INDEX(الدرجات!$C$3:$W$10,MATCH($A16,الدرجات!$A$3:$A$10,0),13)="","",INDEX(الدرجات!$C$3:$W$10,MATCH($A16,الدرجات!$A$3:$A$10,0),13))</f>
        <v/>
      </c>
      <c r="E16" s="17" t="str">
        <f aca="false">IF(INDEX(الدرجات!$C$3:$W$10,MATCH($A16,الدرجات!$A$3:$A$10,0),14)="","",INDEX(الدرجات!$C$3:$W$10,MATCH($A16,الدرجات!$A$3:$A$10,0),14))</f>
        <v/>
      </c>
      <c r="F16" s="17" t="str">
        <f aca="false">IF(INDEX(الدرجات!$C$3:$W$10,MATCH($A16,الدرجات!$A$3:$A$10,0),15)="","",INDEX(الدرجات!$C$3:$W$10,MATCH($A16,الدرجات!$A$3:$A$10,0),15))</f>
        <v/>
      </c>
      <c r="G16" s="15" t="str">
        <f aca="false">IF(OR(D16="محجوب",E16="محجوب",F16="محجوب"),"",IF(ISNUMBER(F16),IF(الإعدادات!$B$6="سقف",MIN(F16,الإعدادات!$B$10),F16),IF(ISNUMBER(D16),D16,"")))</f>
        <v/>
      </c>
      <c r="H16" s="15" t="str">
        <f aca="false">IF(OR(D16="محجوب",E16="محجوب",F16="محجوب"),"",IF(AND(ISNUMBER(G16),ISNUMBER(E16)),G16+E16,""))</f>
        <v/>
      </c>
      <c r="I16" s="15" t="str">
        <f aca="false">IF(H16="","",IF(H16&gt;=الإعدادات!$B$8,0,IF(ROUND(الإعدادات!$B$8-H16,2)&lt;=الإعدادات!$B$9,ROUND(الإعدادات!$B$8-H16,2),0)))</f>
        <v/>
      </c>
      <c r="J16" s="15" t="str">
        <f aca="false">IF(H16="","",H16+I16)</f>
        <v/>
      </c>
      <c r="K16" s="18" t="str">
        <f aca="false">IF(J16="","",J16/الإعدادات!$B$7)</f>
        <v/>
      </c>
      <c r="L16" s="15" t="str">
        <f aca="false">IF(OR(D16="محجوب",E16="محجوب",F16="محجوب"),"قيد المراجعة",IF(J16="",IF(OR(D16="غائب",D16="بعذر"),"إعادة مطلوبة","لم تكتمل"),IF(ROUND(J16,2)&gt;=ROUND(الإعدادات!$B$8,2),IF(I16&gt;0,"ناجح برأفة","ناجح"),IF(ISNUMBER(F16),"راسب","إعادة مطلوبة"))))</f>
        <v>لم تكتمل</v>
      </c>
    </row>
    <row r="17" customFormat="false" ht="15" hidden="false" customHeight="false" outlineLevel="0" collapsed="false">
      <c r="A17" s="15" t="s">
        <v>48</v>
      </c>
      <c r="B17" s="16" t="str">
        <f aca="false">INDEX(الدرجات!$B$3:$B$10,MATCH($A17,الدرجات!$A$3:$A$10,0))</f>
        <v>مريم سمير</v>
      </c>
      <c r="C17" s="16" t="str">
        <f aca="false">الإعدادات!$B$24</f>
        <v>الرعاية والافتقاد</v>
      </c>
      <c r="D17" s="17" t="str">
        <f aca="false">IF(INDEX(الدرجات!$C$3:$W$10,MATCH($A17,الدرجات!$A$3:$A$10,0),16)="","",INDEX(الدرجات!$C$3:$W$10,MATCH($A17,الدرجات!$A$3:$A$10,0),16))</f>
        <v/>
      </c>
      <c r="E17" s="17" t="str">
        <f aca="false">IF(INDEX(الدرجات!$C$3:$W$10,MATCH($A17,الدرجات!$A$3:$A$10,0),17)="","",INDEX(الدرجات!$C$3:$W$10,MATCH($A17,الدرجات!$A$3:$A$10,0),17))</f>
        <v/>
      </c>
      <c r="F17" s="17" t="str">
        <f aca="false">IF(INDEX(الدرجات!$C$3:$W$10,MATCH($A17,الدرجات!$A$3:$A$10,0),18)="","",INDEX(الدرجات!$C$3:$W$10,MATCH($A17,الدرجات!$A$3:$A$10,0),18))</f>
        <v/>
      </c>
      <c r="G17" s="15" t="str">
        <f aca="false">IF(OR(D17="محجوب",E17="محجوب",F17="محجوب"),"",IF(ISNUMBER(F17),IF(الإعدادات!$B$6="سقف",MIN(F17,الإعدادات!$B$10),F17),IF(ISNUMBER(D17),D17,"")))</f>
        <v/>
      </c>
      <c r="H17" s="15" t="str">
        <f aca="false">IF(OR(D17="محجوب",E17="محجوب",F17="محجوب"),"",IF(AND(ISNUMBER(G17),ISNUMBER(E17)),G17+E17,""))</f>
        <v/>
      </c>
      <c r="I17" s="15" t="str">
        <f aca="false">IF(H17="","",IF(H17&gt;=الإعدادات!$B$8,0,IF(ROUND(الإعدادات!$B$8-H17,2)&lt;=الإعدادات!$B$9,ROUND(الإعدادات!$B$8-H17,2),0)))</f>
        <v/>
      </c>
      <c r="J17" s="15" t="str">
        <f aca="false">IF(H17="","",H17+I17)</f>
        <v/>
      </c>
      <c r="K17" s="18" t="str">
        <f aca="false">IF(J17="","",J17/الإعدادات!$B$7)</f>
        <v/>
      </c>
      <c r="L17" s="15" t="str">
        <f aca="false">IF(OR(D17="محجوب",E17="محجوب",F17="محجوب"),"قيد المراجعة",IF(J17="",IF(OR(D17="غائب",D17="بعذر"),"إعادة مطلوبة","لم تكتمل"),IF(ROUND(J17,2)&gt;=ROUND(الإعدادات!$B$8,2),IF(I17&gt;0,"ناجح برأفة","ناجح"),IF(ISNUMBER(F17),"راسب","إعادة مطلوبة"))))</f>
        <v>لم تكتمل</v>
      </c>
    </row>
    <row r="18" customFormat="false" ht="15" hidden="false" customHeight="false" outlineLevel="0" collapsed="false">
      <c r="A18" s="15" t="s">
        <v>48</v>
      </c>
      <c r="B18" s="16" t="str">
        <f aca="false">INDEX(الدرجات!$B$3:$B$10,MATCH($A18,الدرجات!$A$3:$A$10,0))</f>
        <v>مريم سمير</v>
      </c>
      <c r="C18" s="16" t="str">
        <f aca="false">الإعدادات!$B$25</f>
        <v>اللاهوت المقارن</v>
      </c>
      <c r="D18" s="17" t="str">
        <f aca="false">IF(INDEX(الدرجات!$C$3:$W$10,MATCH($A18,الدرجات!$A$3:$A$10,0),19)="","",INDEX(الدرجات!$C$3:$W$10,MATCH($A18,الدرجات!$A$3:$A$10,0),19))</f>
        <v/>
      </c>
      <c r="E18" s="17" t="str">
        <f aca="false">IF(INDEX(الدرجات!$C$3:$W$10,MATCH($A18,الدرجات!$A$3:$A$10,0),20)="","",INDEX(الدرجات!$C$3:$W$10,MATCH($A18,الدرجات!$A$3:$A$10,0),20))</f>
        <v/>
      </c>
      <c r="F18" s="17" t="str">
        <f aca="false">IF(INDEX(الدرجات!$C$3:$W$10,MATCH($A18,الدرجات!$A$3:$A$10,0),21)="","",INDEX(الدرجات!$C$3:$W$10,MATCH($A18,الدرجات!$A$3:$A$10,0),21))</f>
        <v/>
      </c>
      <c r="G18" s="15" t="str">
        <f aca="false">IF(OR(D18="محجوب",E18="محجوب",F18="محجوب"),"",IF(ISNUMBER(F18),IF(الإعدادات!$B$6="سقف",MIN(F18,الإعدادات!$B$10),F18),IF(ISNUMBER(D18),D18,"")))</f>
        <v/>
      </c>
      <c r="H18" s="15" t="str">
        <f aca="false">IF(OR(D18="محجوب",E18="محجوب",F18="محجوب"),"",IF(AND(ISNUMBER(G18),ISNUMBER(E18)),G18+E18,""))</f>
        <v/>
      </c>
      <c r="I18" s="15" t="str">
        <f aca="false">IF(H18="","",IF(H18&gt;=الإعدادات!$B$8,0,IF(ROUND(الإعدادات!$B$8-H18,2)&lt;=الإعدادات!$B$9,ROUND(الإعدادات!$B$8-H18,2),0)))</f>
        <v/>
      </c>
      <c r="J18" s="15" t="str">
        <f aca="false">IF(H18="","",H18+I18)</f>
        <v/>
      </c>
      <c r="K18" s="18" t="str">
        <f aca="false">IF(J18="","",J18/الإعدادات!$B$7)</f>
        <v/>
      </c>
      <c r="L18" s="15" t="str">
        <f aca="false">IF(OR(D18="محجوب",E18="محجوب",F18="محجوب"),"قيد المراجعة",IF(J18="",IF(OR(D18="غائب",D18="بعذر"),"إعادة مطلوبة","لم تكتمل"),IF(ROUND(J18,2)&gt;=ROUND(الإعدادات!$B$8,2),IF(I18&gt;0,"ناجح برأفة","ناجح"),IF(ISNUMBER(F18),"راسب","إعادة مطلوبة"))))</f>
        <v>لم تكتمل</v>
      </c>
    </row>
    <row r="19" customFormat="false" ht="15" hidden="false" customHeight="false" outlineLevel="0" collapsed="false">
      <c r="A19" s="15" t="s">
        <v>50</v>
      </c>
      <c r="B19" s="16" t="str">
        <f aca="false">INDEX(الدرجات!$B$3:$B$10,MATCH($A19,الدرجات!$A$3:$A$10,0))</f>
        <v>بيتر عادل</v>
      </c>
      <c r="C19" s="16" t="str">
        <f aca="false">الإعدادات!$B$19</f>
        <v>العقيدة المسيحية</v>
      </c>
      <c r="D19" s="17" t="str">
        <f aca="false">IF(INDEX(الدرجات!$C$3:$W$10,MATCH($A19,الدرجات!$A$3:$A$10,0),1)="","",INDEX(الدرجات!$C$3:$W$10,MATCH($A19,الدرجات!$A$3:$A$10,0),1))</f>
        <v/>
      </c>
      <c r="E19" s="17" t="str">
        <f aca="false">IF(INDEX(الدرجات!$C$3:$W$10,MATCH($A19,الدرجات!$A$3:$A$10,0),2)="","",INDEX(الدرجات!$C$3:$W$10,MATCH($A19,الدرجات!$A$3:$A$10,0),2))</f>
        <v/>
      </c>
      <c r="F19" s="17" t="str">
        <f aca="false">IF(INDEX(الدرجات!$C$3:$W$10,MATCH($A19,الدرجات!$A$3:$A$10,0),3)="","",INDEX(الدرجات!$C$3:$W$10,MATCH($A19,الدرجات!$A$3:$A$10,0),3))</f>
        <v/>
      </c>
      <c r="G19" s="15" t="str">
        <f aca="false">IF(OR(D19="محجوب",E19="محجوب",F19="محجوب"),"",IF(ISNUMBER(F19),IF(الإعدادات!$B$6="سقف",MIN(F19,الإعدادات!$B$10),F19),IF(ISNUMBER(D19),D19,"")))</f>
        <v/>
      </c>
      <c r="H19" s="15" t="str">
        <f aca="false">IF(OR(D19="محجوب",E19="محجوب",F19="محجوب"),"",IF(AND(ISNUMBER(G19),ISNUMBER(E19)),G19+E19,""))</f>
        <v/>
      </c>
      <c r="I19" s="15" t="str">
        <f aca="false">IF(H19="","",IF(H19&gt;=الإعدادات!$B$8,0,IF(ROUND(الإعدادات!$B$8-H19,2)&lt;=الإعدادات!$B$9,ROUND(الإعدادات!$B$8-H19,2),0)))</f>
        <v/>
      </c>
      <c r="J19" s="15" t="str">
        <f aca="false">IF(H19="","",H19+I19)</f>
        <v/>
      </c>
      <c r="K19" s="18" t="str">
        <f aca="false">IF(J19="","",J19/الإعدادات!$B$7)</f>
        <v/>
      </c>
      <c r="L19" s="15" t="str">
        <f aca="false">IF(OR(D19="محجوب",E19="محجوب",F19="محجوب"),"قيد المراجعة",IF(J19="",IF(OR(D19="غائب",D19="بعذر"),"إعادة مطلوبة","لم تكتمل"),IF(ROUND(J19,2)&gt;=ROUND(الإعدادات!$B$8,2),IF(I19&gt;0,"ناجح برأفة","ناجح"),IF(ISNUMBER(F19),"راسب","إعادة مطلوبة"))))</f>
        <v>لم تكتمل</v>
      </c>
    </row>
    <row r="20" customFormat="false" ht="15" hidden="false" customHeight="false" outlineLevel="0" collapsed="false">
      <c r="A20" s="15" t="s">
        <v>50</v>
      </c>
      <c r="B20" s="16" t="str">
        <f aca="false">INDEX(الدرجات!$B$3:$B$10,MATCH($A20,الدرجات!$A$3:$A$10,0))</f>
        <v>بيتر عادل</v>
      </c>
      <c r="C20" s="16" t="str">
        <f aca="false">الإعدادات!$B$20</f>
        <v>العهد القديم</v>
      </c>
      <c r="D20" s="17" t="str">
        <f aca="false">IF(INDEX(الدرجات!$C$3:$W$10,MATCH($A20,الدرجات!$A$3:$A$10,0),4)="","",INDEX(الدرجات!$C$3:$W$10,MATCH($A20,الدرجات!$A$3:$A$10,0),4))</f>
        <v/>
      </c>
      <c r="E20" s="17" t="str">
        <f aca="false">IF(INDEX(الدرجات!$C$3:$W$10,MATCH($A20,الدرجات!$A$3:$A$10,0),5)="","",INDEX(الدرجات!$C$3:$W$10,MATCH($A20,الدرجات!$A$3:$A$10,0),5))</f>
        <v/>
      </c>
      <c r="F20" s="17" t="str">
        <f aca="false">IF(INDEX(الدرجات!$C$3:$W$10,MATCH($A20,الدرجات!$A$3:$A$10,0),6)="","",INDEX(الدرجات!$C$3:$W$10,MATCH($A20,الدرجات!$A$3:$A$10,0),6))</f>
        <v/>
      </c>
      <c r="G20" s="15" t="str">
        <f aca="false">IF(OR(D20="محجوب",E20="محجوب",F20="محجوب"),"",IF(ISNUMBER(F20),IF(الإعدادات!$B$6="سقف",MIN(F20,الإعدادات!$B$10),F20),IF(ISNUMBER(D20),D20,"")))</f>
        <v/>
      </c>
      <c r="H20" s="15" t="str">
        <f aca="false">IF(OR(D20="محجوب",E20="محجوب",F20="محجوب"),"",IF(AND(ISNUMBER(G20),ISNUMBER(E20)),G20+E20,""))</f>
        <v/>
      </c>
      <c r="I20" s="15" t="str">
        <f aca="false">IF(H20="","",IF(H20&gt;=الإعدادات!$B$8,0,IF(ROUND(الإعدادات!$B$8-H20,2)&lt;=الإعدادات!$B$9,ROUND(الإعدادات!$B$8-H20,2),0)))</f>
        <v/>
      </c>
      <c r="J20" s="15" t="str">
        <f aca="false">IF(H20="","",H20+I20)</f>
        <v/>
      </c>
      <c r="K20" s="18" t="str">
        <f aca="false">IF(J20="","",J20/الإعدادات!$B$7)</f>
        <v/>
      </c>
      <c r="L20" s="15" t="str">
        <f aca="false">IF(OR(D20="محجوب",E20="محجوب",F20="محجوب"),"قيد المراجعة",IF(J20="",IF(OR(D20="غائب",D20="بعذر"),"إعادة مطلوبة","لم تكتمل"),IF(ROUND(J20,2)&gt;=ROUND(الإعدادات!$B$8,2),IF(I20&gt;0,"ناجح برأفة","ناجح"),IF(ISNUMBER(F20),"راسب","إعادة مطلوبة"))))</f>
        <v>لم تكتمل</v>
      </c>
    </row>
    <row r="21" customFormat="false" ht="15" hidden="false" customHeight="false" outlineLevel="0" collapsed="false">
      <c r="A21" s="15" t="s">
        <v>50</v>
      </c>
      <c r="B21" s="16" t="str">
        <f aca="false">INDEX(الدرجات!$B$3:$B$10,MATCH($A21,الدرجات!$A$3:$A$10,0))</f>
        <v>بيتر عادل</v>
      </c>
      <c r="C21" s="16" t="str">
        <f aca="false">الإعدادات!$B$21</f>
        <v>العهد الجديد</v>
      </c>
      <c r="D21" s="17" t="str">
        <f aca="false">IF(INDEX(الدرجات!$C$3:$W$10,MATCH($A21,الدرجات!$A$3:$A$10,0),7)="","",INDEX(الدرجات!$C$3:$W$10,MATCH($A21,الدرجات!$A$3:$A$10,0),7))</f>
        <v/>
      </c>
      <c r="E21" s="17" t="str">
        <f aca="false">IF(INDEX(الدرجات!$C$3:$W$10,MATCH($A21,الدرجات!$A$3:$A$10,0),8)="","",INDEX(الدرجات!$C$3:$W$10,MATCH($A21,الدرجات!$A$3:$A$10,0),8))</f>
        <v/>
      </c>
      <c r="F21" s="17" t="str">
        <f aca="false">IF(INDEX(الدرجات!$C$3:$W$10,MATCH($A21,الدرجات!$A$3:$A$10,0),9)="","",INDEX(الدرجات!$C$3:$W$10,MATCH($A21,الدرجات!$A$3:$A$10,0),9))</f>
        <v/>
      </c>
      <c r="G21" s="15" t="str">
        <f aca="false">IF(OR(D21="محجوب",E21="محجوب",F21="محجوب"),"",IF(ISNUMBER(F21),IF(الإعدادات!$B$6="سقف",MIN(F21,الإعدادات!$B$10),F21),IF(ISNUMBER(D21),D21,"")))</f>
        <v/>
      </c>
      <c r="H21" s="15" t="str">
        <f aca="false">IF(OR(D21="محجوب",E21="محجوب",F21="محجوب"),"",IF(AND(ISNUMBER(G21),ISNUMBER(E21)),G21+E21,""))</f>
        <v/>
      </c>
      <c r="I21" s="15" t="str">
        <f aca="false">IF(H21="","",IF(H21&gt;=الإعدادات!$B$8,0,IF(ROUND(الإعدادات!$B$8-H21,2)&lt;=الإعدادات!$B$9,ROUND(الإعدادات!$B$8-H21,2),0)))</f>
        <v/>
      </c>
      <c r="J21" s="15" t="str">
        <f aca="false">IF(H21="","",H21+I21)</f>
        <v/>
      </c>
      <c r="K21" s="18" t="str">
        <f aca="false">IF(J21="","",J21/الإعدادات!$B$7)</f>
        <v/>
      </c>
      <c r="L21" s="15" t="str">
        <f aca="false">IF(OR(D21="محجوب",E21="محجوب",F21="محجوب"),"قيد المراجعة",IF(J21="",IF(OR(D21="غائب",D21="بعذر"),"إعادة مطلوبة","لم تكتمل"),IF(ROUND(J21,2)&gt;=ROUND(الإعدادات!$B$8,2),IF(I21&gt;0,"ناجح برأفة","ناجح"),IF(ISNUMBER(F21),"راسب","إعادة مطلوبة"))))</f>
        <v>لم تكتمل</v>
      </c>
    </row>
    <row r="22" customFormat="false" ht="15" hidden="false" customHeight="false" outlineLevel="0" collapsed="false">
      <c r="A22" s="15" t="s">
        <v>50</v>
      </c>
      <c r="B22" s="16" t="str">
        <f aca="false">INDEX(الدرجات!$B$3:$B$10,MATCH($A22,الدرجات!$A$3:$A$10,0))</f>
        <v>بيتر عادل</v>
      </c>
      <c r="C22" s="16" t="str">
        <f aca="false">الإعدادات!$B$22</f>
        <v>الطقوس والألحان</v>
      </c>
      <c r="D22" s="17" t="str">
        <f aca="false">IF(INDEX(الدرجات!$C$3:$W$10,MATCH($A22,الدرجات!$A$3:$A$10,0),10)="","",INDEX(الدرجات!$C$3:$W$10,MATCH($A22,الدرجات!$A$3:$A$10,0),10))</f>
        <v/>
      </c>
      <c r="E22" s="17" t="str">
        <f aca="false">IF(INDEX(الدرجات!$C$3:$W$10,MATCH($A22,الدرجات!$A$3:$A$10,0),11)="","",INDEX(الدرجات!$C$3:$W$10,MATCH($A22,الدرجات!$A$3:$A$10,0),11))</f>
        <v/>
      </c>
      <c r="F22" s="17" t="str">
        <f aca="false">IF(INDEX(الدرجات!$C$3:$W$10,MATCH($A22,الدرجات!$A$3:$A$10,0),12)="","",INDEX(الدرجات!$C$3:$W$10,MATCH($A22,الدرجات!$A$3:$A$10,0),12))</f>
        <v/>
      </c>
      <c r="G22" s="15" t="str">
        <f aca="false">IF(OR(D22="محجوب",E22="محجوب",F22="محجوب"),"",IF(ISNUMBER(F22),IF(الإعدادات!$B$6="سقف",MIN(F22,الإعدادات!$B$10),F22),IF(ISNUMBER(D22),D22,"")))</f>
        <v/>
      </c>
      <c r="H22" s="15" t="str">
        <f aca="false">IF(OR(D22="محجوب",E22="محجوب",F22="محجوب"),"",IF(AND(ISNUMBER(G22),ISNUMBER(E22)),G22+E22,""))</f>
        <v/>
      </c>
      <c r="I22" s="15" t="str">
        <f aca="false">IF(H22="","",IF(H22&gt;=الإعدادات!$B$8,0,IF(ROUND(الإعدادات!$B$8-H22,2)&lt;=الإعدادات!$B$9,ROUND(الإعدادات!$B$8-H22,2),0)))</f>
        <v/>
      </c>
      <c r="J22" s="15" t="str">
        <f aca="false">IF(H22="","",H22+I22)</f>
        <v/>
      </c>
      <c r="K22" s="18" t="str">
        <f aca="false">IF(J22="","",J22/الإعدادات!$B$7)</f>
        <v/>
      </c>
      <c r="L22" s="15" t="str">
        <f aca="false">IF(OR(D22="محجوب",E22="محجوب",F22="محجوب"),"قيد المراجعة",IF(J22="",IF(OR(D22="غائب",D22="بعذر"),"إعادة مطلوبة","لم تكتمل"),IF(ROUND(J22,2)&gt;=ROUND(الإعدادات!$B$8,2),IF(I22&gt;0,"ناجح برأفة","ناجح"),IF(ISNUMBER(F22),"راسب","إعادة مطلوبة"))))</f>
        <v>لم تكتمل</v>
      </c>
    </row>
    <row r="23" customFormat="false" ht="15" hidden="false" customHeight="false" outlineLevel="0" collapsed="false">
      <c r="A23" s="15" t="s">
        <v>50</v>
      </c>
      <c r="B23" s="16" t="str">
        <f aca="false">INDEX(الدرجات!$B$3:$B$10,MATCH($A23,الدرجات!$A$3:$A$10,0))</f>
        <v>بيتر عادل</v>
      </c>
      <c r="C23" s="16" t="str">
        <f aca="false">الإعدادات!$B$23</f>
        <v>تاريخ الكنيسة</v>
      </c>
      <c r="D23" s="17" t="str">
        <f aca="false">IF(INDEX(الدرجات!$C$3:$W$10,MATCH($A23,الدرجات!$A$3:$A$10,0),13)="","",INDEX(الدرجات!$C$3:$W$10,MATCH($A23,الدرجات!$A$3:$A$10,0),13))</f>
        <v/>
      </c>
      <c r="E23" s="17" t="str">
        <f aca="false">IF(INDEX(الدرجات!$C$3:$W$10,MATCH($A23,الدرجات!$A$3:$A$10,0),14)="","",INDEX(الدرجات!$C$3:$W$10,MATCH($A23,الدرجات!$A$3:$A$10,0),14))</f>
        <v/>
      </c>
      <c r="F23" s="17" t="str">
        <f aca="false">IF(INDEX(الدرجات!$C$3:$W$10,MATCH($A23,الدرجات!$A$3:$A$10,0),15)="","",INDEX(الدرجات!$C$3:$W$10,MATCH($A23,الدرجات!$A$3:$A$10,0),15))</f>
        <v/>
      </c>
      <c r="G23" s="15" t="str">
        <f aca="false">IF(OR(D23="محجوب",E23="محجوب",F23="محجوب"),"",IF(ISNUMBER(F23),IF(الإعدادات!$B$6="سقف",MIN(F23,الإعدادات!$B$10),F23),IF(ISNUMBER(D23),D23,"")))</f>
        <v/>
      </c>
      <c r="H23" s="15" t="str">
        <f aca="false">IF(OR(D23="محجوب",E23="محجوب",F23="محجوب"),"",IF(AND(ISNUMBER(G23),ISNUMBER(E23)),G23+E23,""))</f>
        <v/>
      </c>
      <c r="I23" s="15" t="str">
        <f aca="false">IF(H23="","",IF(H23&gt;=الإعدادات!$B$8,0,IF(ROUND(الإعدادات!$B$8-H23,2)&lt;=الإعدادات!$B$9,ROUND(الإعدادات!$B$8-H23,2),0)))</f>
        <v/>
      </c>
      <c r="J23" s="15" t="str">
        <f aca="false">IF(H23="","",H23+I23)</f>
        <v/>
      </c>
      <c r="K23" s="18" t="str">
        <f aca="false">IF(J23="","",J23/الإعدادات!$B$7)</f>
        <v/>
      </c>
      <c r="L23" s="15" t="str">
        <f aca="false">IF(OR(D23="محجوب",E23="محجوب",F23="محجوب"),"قيد المراجعة",IF(J23="",IF(OR(D23="غائب",D23="بعذر"),"إعادة مطلوبة","لم تكتمل"),IF(ROUND(J23,2)&gt;=ROUND(الإعدادات!$B$8,2),IF(I23&gt;0,"ناجح برأفة","ناجح"),IF(ISNUMBER(F23),"راسب","إعادة مطلوبة"))))</f>
        <v>لم تكتمل</v>
      </c>
    </row>
    <row r="24" customFormat="false" ht="15" hidden="false" customHeight="false" outlineLevel="0" collapsed="false">
      <c r="A24" s="15" t="s">
        <v>50</v>
      </c>
      <c r="B24" s="16" t="str">
        <f aca="false">INDEX(الدرجات!$B$3:$B$10,MATCH($A24,الدرجات!$A$3:$A$10,0))</f>
        <v>بيتر عادل</v>
      </c>
      <c r="C24" s="16" t="str">
        <f aca="false">الإعدادات!$B$24</f>
        <v>الرعاية والافتقاد</v>
      </c>
      <c r="D24" s="17" t="str">
        <f aca="false">IF(INDEX(الدرجات!$C$3:$W$10,MATCH($A24,الدرجات!$A$3:$A$10,0),16)="","",INDEX(الدرجات!$C$3:$W$10,MATCH($A24,الدرجات!$A$3:$A$10,0),16))</f>
        <v/>
      </c>
      <c r="E24" s="17" t="str">
        <f aca="false">IF(INDEX(الدرجات!$C$3:$W$10,MATCH($A24,الدرجات!$A$3:$A$10,0),17)="","",INDEX(الدرجات!$C$3:$W$10,MATCH($A24,الدرجات!$A$3:$A$10,0),17))</f>
        <v/>
      </c>
      <c r="F24" s="17" t="str">
        <f aca="false">IF(INDEX(الدرجات!$C$3:$W$10,MATCH($A24,الدرجات!$A$3:$A$10,0),18)="","",INDEX(الدرجات!$C$3:$W$10,MATCH($A24,الدرجات!$A$3:$A$10,0),18))</f>
        <v/>
      </c>
      <c r="G24" s="15" t="str">
        <f aca="false">IF(OR(D24="محجوب",E24="محجوب",F24="محجوب"),"",IF(ISNUMBER(F24),IF(الإعدادات!$B$6="سقف",MIN(F24,الإعدادات!$B$10),F24),IF(ISNUMBER(D24),D24,"")))</f>
        <v/>
      </c>
      <c r="H24" s="15" t="str">
        <f aca="false">IF(OR(D24="محجوب",E24="محجوب",F24="محجوب"),"",IF(AND(ISNUMBER(G24),ISNUMBER(E24)),G24+E24,""))</f>
        <v/>
      </c>
      <c r="I24" s="15" t="str">
        <f aca="false">IF(H24="","",IF(H24&gt;=الإعدادات!$B$8,0,IF(ROUND(الإعدادات!$B$8-H24,2)&lt;=الإعدادات!$B$9,ROUND(الإعدادات!$B$8-H24,2),0)))</f>
        <v/>
      </c>
      <c r="J24" s="15" t="str">
        <f aca="false">IF(H24="","",H24+I24)</f>
        <v/>
      </c>
      <c r="K24" s="18" t="str">
        <f aca="false">IF(J24="","",J24/الإعدادات!$B$7)</f>
        <v/>
      </c>
      <c r="L24" s="15" t="str">
        <f aca="false">IF(OR(D24="محجوب",E24="محجوب",F24="محجوب"),"قيد المراجعة",IF(J24="",IF(OR(D24="غائب",D24="بعذر"),"إعادة مطلوبة","لم تكتمل"),IF(ROUND(J24,2)&gt;=ROUND(الإعدادات!$B$8,2),IF(I24&gt;0,"ناجح برأفة","ناجح"),IF(ISNUMBER(F24),"راسب","إعادة مطلوبة"))))</f>
        <v>لم تكتمل</v>
      </c>
    </row>
    <row r="25" customFormat="false" ht="15" hidden="false" customHeight="false" outlineLevel="0" collapsed="false">
      <c r="A25" s="15" t="s">
        <v>50</v>
      </c>
      <c r="B25" s="16" t="str">
        <f aca="false">INDEX(الدرجات!$B$3:$B$10,MATCH($A25,الدرجات!$A$3:$A$10,0))</f>
        <v>بيتر عادل</v>
      </c>
      <c r="C25" s="16" t="str">
        <f aca="false">الإعدادات!$B$25</f>
        <v>اللاهوت المقارن</v>
      </c>
      <c r="D25" s="17" t="str">
        <f aca="false">IF(INDEX(الدرجات!$C$3:$W$10,MATCH($A25,الدرجات!$A$3:$A$10,0),19)="","",INDEX(الدرجات!$C$3:$W$10,MATCH($A25,الدرجات!$A$3:$A$10,0),19))</f>
        <v/>
      </c>
      <c r="E25" s="17" t="str">
        <f aca="false">IF(INDEX(الدرجات!$C$3:$W$10,MATCH($A25,الدرجات!$A$3:$A$10,0),20)="","",INDEX(الدرجات!$C$3:$W$10,MATCH($A25,الدرجات!$A$3:$A$10,0),20))</f>
        <v/>
      </c>
      <c r="F25" s="17" t="str">
        <f aca="false">IF(INDEX(الدرجات!$C$3:$W$10,MATCH($A25,الدرجات!$A$3:$A$10,0),21)="","",INDEX(الدرجات!$C$3:$W$10,MATCH($A25,الدرجات!$A$3:$A$10,0),21))</f>
        <v/>
      </c>
      <c r="G25" s="15" t="str">
        <f aca="false">IF(OR(D25="محجوب",E25="محجوب",F25="محجوب"),"",IF(ISNUMBER(F25),IF(الإعدادات!$B$6="سقف",MIN(F25,الإعدادات!$B$10),F25),IF(ISNUMBER(D25),D25,"")))</f>
        <v/>
      </c>
      <c r="H25" s="15" t="str">
        <f aca="false">IF(OR(D25="محجوب",E25="محجوب",F25="محجوب"),"",IF(AND(ISNUMBER(G25),ISNUMBER(E25)),G25+E25,""))</f>
        <v/>
      </c>
      <c r="I25" s="15" t="str">
        <f aca="false">IF(H25="","",IF(H25&gt;=الإعدادات!$B$8,0,IF(ROUND(الإعدادات!$B$8-H25,2)&lt;=الإعدادات!$B$9,ROUND(الإعدادات!$B$8-H25,2),0)))</f>
        <v/>
      </c>
      <c r="J25" s="15" t="str">
        <f aca="false">IF(H25="","",H25+I25)</f>
        <v/>
      </c>
      <c r="K25" s="18" t="str">
        <f aca="false">IF(J25="","",J25/الإعدادات!$B$7)</f>
        <v/>
      </c>
      <c r="L25" s="15" t="str">
        <f aca="false">IF(OR(D25="محجوب",E25="محجوب",F25="محجوب"),"قيد المراجعة",IF(J25="",IF(OR(D25="غائب",D25="بعذر"),"إعادة مطلوبة","لم تكتمل"),IF(ROUND(J25,2)&gt;=ROUND(الإعدادات!$B$8,2),IF(I25&gt;0,"ناجح برأفة","ناجح"),IF(ISNUMBER(F25),"راسب","إعادة مطلوبة"))))</f>
        <v>لم تكتمل</v>
      </c>
    </row>
    <row r="26" customFormat="false" ht="15" hidden="false" customHeight="false" outlineLevel="0" collapsed="false">
      <c r="A26" s="15" t="s">
        <v>52</v>
      </c>
      <c r="B26" s="16" t="str">
        <f aca="false">INDEX(الدرجات!$B$3:$B$10,MATCH($A26,الدرجات!$A$3:$A$10,0))</f>
        <v>مارتينا ناجي</v>
      </c>
      <c r="C26" s="16" t="str">
        <f aca="false">الإعدادات!$B$19</f>
        <v>العقيدة المسيحية</v>
      </c>
      <c r="D26" s="17" t="str">
        <f aca="false">IF(INDEX(الدرجات!$C$3:$W$10,MATCH($A26,الدرجات!$A$3:$A$10,0),1)="","",INDEX(الدرجات!$C$3:$W$10,MATCH($A26,الدرجات!$A$3:$A$10,0),1))</f>
        <v/>
      </c>
      <c r="E26" s="17" t="str">
        <f aca="false">IF(INDEX(الدرجات!$C$3:$W$10,MATCH($A26,الدرجات!$A$3:$A$10,0),2)="","",INDEX(الدرجات!$C$3:$W$10,MATCH($A26,الدرجات!$A$3:$A$10,0),2))</f>
        <v/>
      </c>
      <c r="F26" s="17" t="str">
        <f aca="false">IF(INDEX(الدرجات!$C$3:$W$10,MATCH($A26,الدرجات!$A$3:$A$10,0),3)="","",INDEX(الدرجات!$C$3:$W$10,MATCH($A26,الدرجات!$A$3:$A$10,0),3))</f>
        <v/>
      </c>
      <c r="G26" s="15" t="str">
        <f aca="false">IF(OR(D26="محجوب",E26="محجوب",F26="محجوب"),"",IF(ISNUMBER(F26),IF(الإعدادات!$B$6="سقف",MIN(F26,الإعدادات!$B$10),F26),IF(ISNUMBER(D26),D26,"")))</f>
        <v/>
      </c>
      <c r="H26" s="15" t="str">
        <f aca="false">IF(OR(D26="محجوب",E26="محجوب",F26="محجوب"),"",IF(AND(ISNUMBER(G26),ISNUMBER(E26)),G26+E26,""))</f>
        <v/>
      </c>
      <c r="I26" s="15" t="str">
        <f aca="false">IF(H26="","",IF(H26&gt;=الإعدادات!$B$8,0,IF(ROUND(الإعدادات!$B$8-H26,2)&lt;=الإعدادات!$B$9,ROUND(الإعدادات!$B$8-H26,2),0)))</f>
        <v/>
      </c>
      <c r="J26" s="15" t="str">
        <f aca="false">IF(H26="","",H26+I26)</f>
        <v/>
      </c>
      <c r="K26" s="18" t="str">
        <f aca="false">IF(J26="","",J26/الإعدادات!$B$7)</f>
        <v/>
      </c>
      <c r="L26" s="15" t="str">
        <f aca="false">IF(OR(D26="محجوب",E26="محجوب",F26="محجوب"),"قيد المراجعة",IF(J26="",IF(OR(D26="غائب",D26="بعذر"),"إعادة مطلوبة","لم تكتمل"),IF(ROUND(J26,2)&gt;=ROUND(الإعدادات!$B$8,2),IF(I26&gt;0,"ناجح برأفة","ناجح"),IF(ISNUMBER(F26),"راسب","إعادة مطلوبة"))))</f>
        <v>لم تكتمل</v>
      </c>
    </row>
    <row r="27" customFormat="false" ht="15" hidden="false" customHeight="false" outlineLevel="0" collapsed="false">
      <c r="A27" s="15" t="s">
        <v>52</v>
      </c>
      <c r="B27" s="16" t="str">
        <f aca="false">INDEX(الدرجات!$B$3:$B$10,MATCH($A27,الدرجات!$A$3:$A$10,0))</f>
        <v>مارتينا ناجي</v>
      </c>
      <c r="C27" s="16" t="str">
        <f aca="false">الإعدادات!$B$20</f>
        <v>العهد القديم</v>
      </c>
      <c r="D27" s="17" t="str">
        <f aca="false">IF(INDEX(الدرجات!$C$3:$W$10,MATCH($A27,الدرجات!$A$3:$A$10,0),4)="","",INDEX(الدرجات!$C$3:$W$10,MATCH($A27,الدرجات!$A$3:$A$10,0),4))</f>
        <v/>
      </c>
      <c r="E27" s="17" t="str">
        <f aca="false">IF(INDEX(الدرجات!$C$3:$W$10,MATCH($A27,الدرجات!$A$3:$A$10,0),5)="","",INDEX(الدرجات!$C$3:$W$10,MATCH($A27,الدرجات!$A$3:$A$10,0),5))</f>
        <v/>
      </c>
      <c r="F27" s="17" t="str">
        <f aca="false">IF(INDEX(الدرجات!$C$3:$W$10,MATCH($A27,الدرجات!$A$3:$A$10,0),6)="","",INDEX(الدرجات!$C$3:$W$10,MATCH($A27,الدرجات!$A$3:$A$10,0),6))</f>
        <v/>
      </c>
      <c r="G27" s="15" t="str">
        <f aca="false">IF(OR(D27="محجوب",E27="محجوب",F27="محجوب"),"",IF(ISNUMBER(F27),IF(الإعدادات!$B$6="سقف",MIN(F27,الإعدادات!$B$10),F27),IF(ISNUMBER(D27),D27,"")))</f>
        <v/>
      </c>
      <c r="H27" s="15" t="str">
        <f aca="false">IF(OR(D27="محجوب",E27="محجوب",F27="محجوب"),"",IF(AND(ISNUMBER(G27),ISNUMBER(E27)),G27+E27,""))</f>
        <v/>
      </c>
      <c r="I27" s="15" t="str">
        <f aca="false">IF(H27="","",IF(H27&gt;=الإعدادات!$B$8,0,IF(ROUND(الإعدادات!$B$8-H27,2)&lt;=الإعدادات!$B$9,ROUND(الإعدادات!$B$8-H27,2),0)))</f>
        <v/>
      </c>
      <c r="J27" s="15" t="str">
        <f aca="false">IF(H27="","",H27+I27)</f>
        <v/>
      </c>
      <c r="K27" s="18" t="str">
        <f aca="false">IF(J27="","",J27/الإعدادات!$B$7)</f>
        <v/>
      </c>
      <c r="L27" s="15" t="str">
        <f aca="false">IF(OR(D27="محجوب",E27="محجوب",F27="محجوب"),"قيد المراجعة",IF(J27="",IF(OR(D27="غائب",D27="بعذر"),"إعادة مطلوبة","لم تكتمل"),IF(ROUND(J27,2)&gt;=ROUND(الإعدادات!$B$8,2),IF(I27&gt;0,"ناجح برأفة","ناجح"),IF(ISNUMBER(F27),"راسب","إعادة مطلوبة"))))</f>
        <v>لم تكتمل</v>
      </c>
    </row>
    <row r="28" customFormat="false" ht="15" hidden="false" customHeight="false" outlineLevel="0" collapsed="false">
      <c r="A28" s="15" t="s">
        <v>52</v>
      </c>
      <c r="B28" s="16" t="str">
        <f aca="false">INDEX(الدرجات!$B$3:$B$10,MATCH($A28,الدرجات!$A$3:$A$10,0))</f>
        <v>مارتينا ناجي</v>
      </c>
      <c r="C28" s="16" t="str">
        <f aca="false">الإعدادات!$B$21</f>
        <v>العهد الجديد</v>
      </c>
      <c r="D28" s="17" t="str">
        <f aca="false">IF(INDEX(الدرجات!$C$3:$W$10,MATCH($A28,الدرجات!$A$3:$A$10,0),7)="","",INDEX(الدرجات!$C$3:$W$10,MATCH($A28,الدرجات!$A$3:$A$10,0),7))</f>
        <v/>
      </c>
      <c r="E28" s="17" t="str">
        <f aca="false">IF(INDEX(الدرجات!$C$3:$W$10,MATCH($A28,الدرجات!$A$3:$A$10,0),8)="","",INDEX(الدرجات!$C$3:$W$10,MATCH($A28,الدرجات!$A$3:$A$10,0),8))</f>
        <v/>
      </c>
      <c r="F28" s="17" t="str">
        <f aca="false">IF(INDEX(الدرجات!$C$3:$W$10,MATCH($A28,الدرجات!$A$3:$A$10,0),9)="","",INDEX(الدرجات!$C$3:$W$10,MATCH($A28,الدرجات!$A$3:$A$10,0),9))</f>
        <v/>
      </c>
      <c r="G28" s="15" t="str">
        <f aca="false">IF(OR(D28="محجوب",E28="محجوب",F28="محجوب"),"",IF(ISNUMBER(F28),IF(الإعدادات!$B$6="سقف",MIN(F28,الإعدادات!$B$10),F28),IF(ISNUMBER(D28),D28,"")))</f>
        <v/>
      </c>
      <c r="H28" s="15" t="str">
        <f aca="false">IF(OR(D28="محجوب",E28="محجوب",F28="محجوب"),"",IF(AND(ISNUMBER(G28),ISNUMBER(E28)),G28+E28,""))</f>
        <v/>
      </c>
      <c r="I28" s="15" t="str">
        <f aca="false">IF(H28="","",IF(H28&gt;=الإعدادات!$B$8,0,IF(ROUND(الإعدادات!$B$8-H28,2)&lt;=الإعدادات!$B$9,ROUND(الإعدادات!$B$8-H28,2),0)))</f>
        <v/>
      </c>
      <c r="J28" s="15" t="str">
        <f aca="false">IF(H28="","",H28+I28)</f>
        <v/>
      </c>
      <c r="K28" s="18" t="str">
        <f aca="false">IF(J28="","",J28/الإعدادات!$B$7)</f>
        <v/>
      </c>
      <c r="L28" s="15" t="str">
        <f aca="false">IF(OR(D28="محجوب",E28="محجوب",F28="محجوب"),"قيد المراجعة",IF(J28="",IF(OR(D28="غائب",D28="بعذر"),"إعادة مطلوبة","لم تكتمل"),IF(ROUND(J28,2)&gt;=ROUND(الإعدادات!$B$8,2),IF(I28&gt;0,"ناجح برأفة","ناجح"),IF(ISNUMBER(F28),"راسب","إعادة مطلوبة"))))</f>
        <v>لم تكتمل</v>
      </c>
    </row>
    <row r="29" customFormat="false" ht="15" hidden="false" customHeight="false" outlineLevel="0" collapsed="false">
      <c r="A29" s="15" t="s">
        <v>52</v>
      </c>
      <c r="B29" s="16" t="str">
        <f aca="false">INDEX(الدرجات!$B$3:$B$10,MATCH($A29,الدرجات!$A$3:$A$10,0))</f>
        <v>مارتينا ناجي</v>
      </c>
      <c r="C29" s="16" t="str">
        <f aca="false">الإعدادات!$B$22</f>
        <v>الطقوس والألحان</v>
      </c>
      <c r="D29" s="17" t="str">
        <f aca="false">IF(INDEX(الدرجات!$C$3:$W$10,MATCH($A29,الدرجات!$A$3:$A$10,0),10)="","",INDEX(الدرجات!$C$3:$W$10,MATCH($A29,الدرجات!$A$3:$A$10,0),10))</f>
        <v/>
      </c>
      <c r="E29" s="17" t="str">
        <f aca="false">IF(INDEX(الدرجات!$C$3:$W$10,MATCH($A29,الدرجات!$A$3:$A$10,0),11)="","",INDEX(الدرجات!$C$3:$W$10,MATCH($A29,الدرجات!$A$3:$A$10,0),11))</f>
        <v/>
      </c>
      <c r="F29" s="17" t="str">
        <f aca="false">IF(INDEX(الدرجات!$C$3:$W$10,MATCH($A29,الدرجات!$A$3:$A$10,0),12)="","",INDEX(الدرجات!$C$3:$W$10,MATCH($A29,الدرجات!$A$3:$A$10,0),12))</f>
        <v/>
      </c>
      <c r="G29" s="15" t="str">
        <f aca="false">IF(OR(D29="محجوب",E29="محجوب",F29="محجوب"),"",IF(ISNUMBER(F29),IF(الإعدادات!$B$6="سقف",MIN(F29,الإعدادات!$B$10),F29),IF(ISNUMBER(D29),D29,"")))</f>
        <v/>
      </c>
      <c r="H29" s="15" t="str">
        <f aca="false">IF(OR(D29="محجوب",E29="محجوب",F29="محجوب"),"",IF(AND(ISNUMBER(G29),ISNUMBER(E29)),G29+E29,""))</f>
        <v/>
      </c>
      <c r="I29" s="15" t="str">
        <f aca="false">IF(H29="","",IF(H29&gt;=الإعدادات!$B$8,0,IF(ROUND(الإعدادات!$B$8-H29,2)&lt;=الإعدادات!$B$9,ROUND(الإعدادات!$B$8-H29,2),0)))</f>
        <v/>
      </c>
      <c r="J29" s="15" t="str">
        <f aca="false">IF(H29="","",H29+I29)</f>
        <v/>
      </c>
      <c r="K29" s="18" t="str">
        <f aca="false">IF(J29="","",J29/الإعدادات!$B$7)</f>
        <v/>
      </c>
      <c r="L29" s="15" t="str">
        <f aca="false">IF(OR(D29="محجوب",E29="محجوب",F29="محجوب"),"قيد المراجعة",IF(J29="",IF(OR(D29="غائب",D29="بعذر"),"إعادة مطلوبة","لم تكتمل"),IF(ROUND(J29,2)&gt;=ROUND(الإعدادات!$B$8,2),IF(I29&gt;0,"ناجح برأفة","ناجح"),IF(ISNUMBER(F29),"راسب","إعادة مطلوبة"))))</f>
        <v>لم تكتمل</v>
      </c>
    </row>
    <row r="30" customFormat="false" ht="15" hidden="false" customHeight="false" outlineLevel="0" collapsed="false">
      <c r="A30" s="15" t="s">
        <v>52</v>
      </c>
      <c r="B30" s="16" t="str">
        <f aca="false">INDEX(الدرجات!$B$3:$B$10,MATCH($A30,الدرجات!$A$3:$A$10,0))</f>
        <v>مارتينا ناجي</v>
      </c>
      <c r="C30" s="16" t="str">
        <f aca="false">الإعدادات!$B$23</f>
        <v>تاريخ الكنيسة</v>
      </c>
      <c r="D30" s="17" t="str">
        <f aca="false">IF(INDEX(الدرجات!$C$3:$W$10,MATCH($A30,الدرجات!$A$3:$A$10,0),13)="","",INDEX(الدرجات!$C$3:$W$10,MATCH($A30,الدرجات!$A$3:$A$10,0),13))</f>
        <v/>
      </c>
      <c r="E30" s="17" t="str">
        <f aca="false">IF(INDEX(الدرجات!$C$3:$W$10,MATCH($A30,الدرجات!$A$3:$A$10,0),14)="","",INDEX(الدرجات!$C$3:$W$10,MATCH($A30,الدرجات!$A$3:$A$10,0),14))</f>
        <v/>
      </c>
      <c r="F30" s="17" t="str">
        <f aca="false">IF(INDEX(الدرجات!$C$3:$W$10,MATCH($A30,الدرجات!$A$3:$A$10,0),15)="","",INDEX(الدرجات!$C$3:$W$10,MATCH($A30,الدرجات!$A$3:$A$10,0),15))</f>
        <v/>
      </c>
      <c r="G30" s="15" t="str">
        <f aca="false">IF(OR(D30="محجوب",E30="محجوب",F30="محجوب"),"",IF(ISNUMBER(F30),IF(الإعدادات!$B$6="سقف",MIN(F30,الإعدادات!$B$10),F30),IF(ISNUMBER(D30),D30,"")))</f>
        <v/>
      </c>
      <c r="H30" s="15" t="str">
        <f aca="false">IF(OR(D30="محجوب",E30="محجوب",F30="محجوب"),"",IF(AND(ISNUMBER(G30),ISNUMBER(E30)),G30+E30,""))</f>
        <v/>
      </c>
      <c r="I30" s="15" t="str">
        <f aca="false">IF(H30="","",IF(H30&gt;=الإعدادات!$B$8,0,IF(ROUND(الإعدادات!$B$8-H30,2)&lt;=الإعدادات!$B$9,ROUND(الإعدادات!$B$8-H30,2),0)))</f>
        <v/>
      </c>
      <c r="J30" s="15" t="str">
        <f aca="false">IF(H30="","",H30+I30)</f>
        <v/>
      </c>
      <c r="K30" s="18" t="str">
        <f aca="false">IF(J30="","",J30/الإعدادات!$B$7)</f>
        <v/>
      </c>
      <c r="L30" s="15" t="str">
        <f aca="false">IF(OR(D30="محجوب",E30="محجوب",F30="محجوب"),"قيد المراجعة",IF(J30="",IF(OR(D30="غائب",D30="بعذر"),"إعادة مطلوبة","لم تكتمل"),IF(ROUND(J30,2)&gt;=ROUND(الإعدادات!$B$8,2),IF(I30&gt;0,"ناجح برأفة","ناجح"),IF(ISNUMBER(F30),"راسب","إعادة مطلوبة"))))</f>
        <v>لم تكتمل</v>
      </c>
    </row>
    <row r="31" customFormat="false" ht="15" hidden="false" customHeight="false" outlineLevel="0" collapsed="false">
      <c r="A31" s="15" t="s">
        <v>52</v>
      </c>
      <c r="B31" s="16" t="str">
        <f aca="false">INDEX(الدرجات!$B$3:$B$10,MATCH($A31,الدرجات!$A$3:$A$10,0))</f>
        <v>مارتينا ناجي</v>
      </c>
      <c r="C31" s="16" t="str">
        <f aca="false">الإعدادات!$B$24</f>
        <v>الرعاية والافتقاد</v>
      </c>
      <c r="D31" s="17" t="str">
        <f aca="false">IF(INDEX(الدرجات!$C$3:$W$10,MATCH($A31,الدرجات!$A$3:$A$10,0),16)="","",INDEX(الدرجات!$C$3:$W$10,MATCH($A31,الدرجات!$A$3:$A$10,0),16))</f>
        <v/>
      </c>
      <c r="E31" s="17" t="str">
        <f aca="false">IF(INDEX(الدرجات!$C$3:$W$10,MATCH($A31,الدرجات!$A$3:$A$10,0),17)="","",INDEX(الدرجات!$C$3:$W$10,MATCH($A31,الدرجات!$A$3:$A$10,0),17))</f>
        <v/>
      </c>
      <c r="F31" s="17" t="str">
        <f aca="false">IF(INDEX(الدرجات!$C$3:$W$10,MATCH($A31,الدرجات!$A$3:$A$10,0),18)="","",INDEX(الدرجات!$C$3:$W$10,MATCH($A31,الدرجات!$A$3:$A$10,0),18))</f>
        <v/>
      </c>
      <c r="G31" s="15" t="str">
        <f aca="false">IF(OR(D31="محجوب",E31="محجوب",F31="محجوب"),"",IF(ISNUMBER(F31),IF(الإعدادات!$B$6="سقف",MIN(F31,الإعدادات!$B$10),F31),IF(ISNUMBER(D31),D31,"")))</f>
        <v/>
      </c>
      <c r="H31" s="15" t="str">
        <f aca="false">IF(OR(D31="محجوب",E31="محجوب",F31="محجوب"),"",IF(AND(ISNUMBER(G31),ISNUMBER(E31)),G31+E31,""))</f>
        <v/>
      </c>
      <c r="I31" s="15" t="str">
        <f aca="false">IF(H31="","",IF(H31&gt;=الإعدادات!$B$8,0,IF(ROUND(الإعدادات!$B$8-H31,2)&lt;=الإعدادات!$B$9,ROUND(الإعدادات!$B$8-H31,2),0)))</f>
        <v/>
      </c>
      <c r="J31" s="15" t="str">
        <f aca="false">IF(H31="","",H31+I31)</f>
        <v/>
      </c>
      <c r="K31" s="18" t="str">
        <f aca="false">IF(J31="","",J31/الإعدادات!$B$7)</f>
        <v/>
      </c>
      <c r="L31" s="15" t="str">
        <f aca="false">IF(OR(D31="محجوب",E31="محجوب",F31="محجوب"),"قيد المراجعة",IF(J31="",IF(OR(D31="غائب",D31="بعذر"),"إعادة مطلوبة","لم تكتمل"),IF(ROUND(J31,2)&gt;=ROUND(الإعدادات!$B$8,2),IF(I31&gt;0,"ناجح برأفة","ناجح"),IF(ISNUMBER(F31),"راسب","إعادة مطلوبة"))))</f>
        <v>لم تكتمل</v>
      </c>
    </row>
    <row r="32" customFormat="false" ht="15" hidden="false" customHeight="false" outlineLevel="0" collapsed="false">
      <c r="A32" s="15" t="s">
        <v>52</v>
      </c>
      <c r="B32" s="16" t="str">
        <f aca="false">INDEX(الدرجات!$B$3:$B$10,MATCH($A32,الدرجات!$A$3:$A$10,0))</f>
        <v>مارتينا ناجي</v>
      </c>
      <c r="C32" s="16" t="str">
        <f aca="false">الإعدادات!$B$25</f>
        <v>اللاهوت المقارن</v>
      </c>
      <c r="D32" s="17" t="str">
        <f aca="false">IF(INDEX(الدرجات!$C$3:$W$10,MATCH($A32,الدرجات!$A$3:$A$10,0),19)="","",INDEX(الدرجات!$C$3:$W$10,MATCH($A32,الدرجات!$A$3:$A$10,0),19))</f>
        <v/>
      </c>
      <c r="E32" s="17" t="str">
        <f aca="false">IF(INDEX(الدرجات!$C$3:$W$10,MATCH($A32,الدرجات!$A$3:$A$10,0),20)="","",INDEX(الدرجات!$C$3:$W$10,MATCH($A32,الدرجات!$A$3:$A$10,0),20))</f>
        <v/>
      </c>
      <c r="F32" s="17" t="str">
        <f aca="false">IF(INDEX(الدرجات!$C$3:$W$10,MATCH($A32,الدرجات!$A$3:$A$10,0),21)="","",INDEX(الدرجات!$C$3:$W$10,MATCH($A32,الدرجات!$A$3:$A$10,0),21))</f>
        <v/>
      </c>
      <c r="G32" s="15" t="str">
        <f aca="false">IF(OR(D32="محجوب",E32="محجوب",F32="محجوب"),"",IF(ISNUMBER(F32),IF(الإعدادات!$B$6="سقف",MIN(F32,الإعدادات!$B$10),F32),IF(ISNUMBER(D32),D32,"")))</f>
        <v/>
      </c>
      <c r="H32" s="15" t="str">
        <f aca="false">IF(OR(D32="محجوب",E32="محجوب",F32="محجوب"),"",IF(AND(ISNUMBER(G32),ISNUMBER(E32)),G32+E32,""))</f>
        <v/>
      </c>
      <c r="I32" s="15" t="str">
        <f aca="false">IF(H32="","",IF(H32&gt;=الإعدادات!$B$8,0,IF(ROUND(الإعدادات!$B$8-H32,2)&lt;=الإعدادات!$B$9,ROUND(الإعدادات!$B$8-H32,2),0)))</f>
        <v/>
      </c>
      <c r="J32" s="15" t="str">
        <f aca="false">IF(H32="","",H32+I32)</f>
        <v/>
      </c>
      <c r="K32" s="18" t="str">
        <f aca="false">IF(J32="","",J32/الإعدادات!$B$7)</f>
        <v/>
      </c>
      <c r="L32" s="15" t="str">
        <f aca="false">IF(OR(D32="محجوب",E32="محجوب",F32="محجوب"),"قيد المراجعة",IF(J32="",IF(OR(D32="غائب",D32="بعذر"),"إعادة مطلوبة","لم تكتمل"),IF(ROUND(J32,2)&gt;=ROUND(الإعدادات!$B$8,2),IF(I32&gt;0,"ناجح برأفة","ناجح"),IF(ISNUMBER(F32),"راسب","إعادة مطلوبة"))))</f>
        <v>لم تكتمل</v>
      </c>
    </row>
    <row r="33" customFormat="false" ht="15" hidden="false" customHeight="false" outlineLevel="0" collapsed="false">
      <c r="A33" s="15" t="s">
        <v>54</v>
      </c>
      <c r="B33" s="16" t="str">
        <f aca="false">INDEX(الدرجات!$B$3:$B$10,MATCH($A33,الدرجات!$A$3:$A$10,0))</f>
        <v>كيرلس فادي</v>
      </c>
      <c r="C33" s="16" t="str">
        <f aca="false">الإعدادات!$B$19</f>
        <v>العقيدة المسيحية</v>
      </c>
      <c r="D33" s="17" t="str">
        <f aca="false">IF(INDEX(الدرجات!$C$3:$W$10,MATCH($A33,الدرجات!$A$3:$A$10,0),1)="","",INDEX(الدرجات!$C$3:$W$10,MATCH($A33,الدرجات!$A$3:$A$10,0),1))</f>
        <v/>
      </c>
      <c r="E33" s="17" t="str">
        <f aca="false">IF(INDEX(الدرجات!$C$3:$W$10,MATCH($A33,الدرجات!$A$3:$A$10,0),2)="","",INDEX(الدرجات!$C$3:$W$10,MATCH($A33,الدرجات!$A$3:$A$10,0),2))</f>
        <v/>
      </c>
      <c r="F33" s="17" t="str">
        <f aca="false">IF(INDEX(الدرجات!$C$3:$W$10,MATCH($A33,الدرجات!$A$3:$A$10,0),3)="","",INDEX(الدرجات!$C$3:$W$10,MATCH($A33,الدرجات!$A$3:$A$10,0),3))</f>
        <v/>
      </c>
      <c r="G33" s="15" t="str">
        <f aca="false">IF(OR(D33="محجوب",E33="محجوب",F33="محجوب"),"",IF(ISNUMBER(F33),IF(الإعدادات!$B$6="سقف",MIN(F33,الإعدادات!$B$10),F33),IF(ISNUMBER(D33),D33,"")))</f>
        <v/>
      </c>
      <c r="H33" s="15" t="str">
        <f aca="false">IF(OR(D33="محجوب",E33="محجوب",F33="محجوب"),"",IF(AND(ISNUMBER(G33),ISNUMBER(E33)),G33+E33,""))</f>
        <v/>
      </c>
      <c r="I33" s="15" t="str">
        <f aca="false">IF(H33="","",IF(H33&gt;=الإعدادات!$B$8,0,IF(ROUND(الإعدادات!$B$8-H33,2)&lt;=الإعدادات!$B$9,ROUND(الإعدادات!$B$8-H33,2),0)))</f>
        <v/>
      </c>
      <c r="J33" s="15" t="str">
        <f aca="false">IF(H33="","",H33+I33)</f>
        <v/>
      </c>
      <c r="K33" s="18" t="str">
        <f aca="false">IF(J33="","",J33/الإعدادات!$B$7)</f>
        <v/>
      </c>
      <c r="L33" s="15" t="str">
        <f aca="false">IF(OR(D33="محجوب",E33="محجوب",F33="محجوب"),"قيد المراجعة",IF(J33="",IF(OR(D33="غائب",D33="بعذر"),"إعادة مطلوبة","لم تكتمل"),IF(ROUND(J33,2)&gt;=ROUND(الإعدادات!$B$8,2),IF(I33&gt;0,"ناجح برأفة","ناجح"),IF(ISNUMBER(F33),"راسب","إعادة مطلوبة"))))</f>
        <v>لم تكتمل</v>
      </c>
    </row>
    <row r="34" customFormat="false" ht="15" hidden="false" customHeight="false" outlineLevel="0" collapsed="false">
      <c r="A34" s="15" t="s">
        <v>54</v>
      </c>
      <c r="B34" s="16" t="str">
        <f aca="false">INDEX(الدرجات!$B$3:$B$10,MATCH($A34,الدرجات!$A$3:$A$10,0))</f>
        <v>كيرلس فادي</v>
      </c>
      <c r="C34" s="16" t="str">
        <f aca="false">الإعدادات!$B$20</f>
        <v>العهد القديم</v>
      </c>
      <c r="D34" s="17" t="str">
        <f aca="false">IF(INDEX(الدرجات!$C$3:$W$10,MATCH($A34,الدرجات!$A$3:$A$10,0),4)="","",INDEX(الدرجات!$C$3:$W$10,MATCH($A34,الدرجات!$A$3:$A$10,0),4))</f>
        <v/>
      </c>
      <c r="E34" s="17" t="str">
        <f aca="false">IF(INDEX(الدرجات!$C$3:$W$10,MATCH($A34,الدرجات!$A$3:$A$10,0),5)="","",INDEX(الدرجات!$C$3:$W$10,MATCH($A34,الدرجات!$A$3:$A$10,0),5))</f>
        <v/>
      </c>
      <c r="F34" s="17" t="str">
        <f aca="false">IF(INDEX(الدرجات!$C$3:$W$10,MATCH($A34,الدرجات!$A$3:$A$10,0),6)="","",INDEX(الدرجات!$C$3:$W$10,MATCH($A34,الدرجات!$A$3:$A$10,0),6))</f>
        <v/>
      </c>
      <c r="G34" s="15" t="str">
        <f aca="false">IF(OR(D34="محجوب",E34="محجوب",F34="محجوب"),"",IF(ISNUMBER(F34),IF(الإعدادات!$B$6="سقف",MIN(F34,الإعدادات!$B$10),F34),IF(ISNUMBER(D34),D34,"")))</f>
        <v/>
      </c>
      <c r="H34" s="15" t="str">
        <f aca="false">IF(OR(D34="محجوب",E34="محجوب",F34="محجوب"),"",IF(AND(ISNUMBER(G34),ISNUMBER(E34)),G34+E34,""))</f>
        <v/>
      </c>
      <c r="I34" s="15" t="str">
        <f aca="false">IF(H34="","",IF(H34&gt;=الإعدادات!$B$8,0,IF(ROUND(الإعدادات!$B$8-H34,2)&lt;=الإعدادات!$B$9,ROUND(الإعدادات!$B$8-H34,2),0)))</f>
        <v/>
      </c>
      <c r="J34" s="15" t="str">
        <f aca="false">IF(H34="","",H34+I34)</f>
        <v/>
      </c>
      <c r="K34" s="18" t="str">
        <f aca="false">IF(J34="","",J34/الإعدادات!$B$7)</f>
        <v/>
      </c>
      <c r="L34" s="15" t="str">
        <f aca="false">IF(OR(D34="محجوب",E34="محجوب",F34="محجوب"),"قيد المراجعة",IF(J34="",IF(OR(D34="غائب",D34="بعذر"),"إعادة مطلوبة","لم تكتمل"),IF(ROUND(J34,2)&gt;=ROUND(الإعدادات!$B$8,2),IF(I34&gt;0,"ناجح برأفة","ناجح"),IF(ISNUMBER(F34),"راسب","إعادة مطلوبة"))))</f>
        <v>لم تكتمل</v>
      </c>
    </row>
    <row r="35" customFormat="false" ht="15" hidden="false" customHeight="false" outlineLevel="0" collapsed="false">
      <c r="A35" s="15" t="s">
        <v>54</v>
      </c>
      <c r="B35" s="16" t="str">
        <f aca="false">INDEX(الدرجات!$B$3:$B$10,MATCH($A35,الدرجات!$A$3:$A$10,0))</f>
        <v>كيرلس فادي</v>
      </c>
      <c r="C35" s="16" t="str">
        <f aca="false">الإعدادات!$B$21</f>
        <v>العهد الجديد</v>
      </c>
      <c r="D35" s="17" t="str">
        <f aca="false">IF(INDEX(الدرجات!$C$3:$W$10,MATCH($A35,الدرجات!$A$3:$A$10,0),7)="","",INDEX(الدرجات!$C$3:$W$10,MATCH($A35,الدرجات!$A$3:$A$10,0),7))</f>
        <v/>
      </c>
      <c r="E35" s="17" t="str">
        <f aca="false">IF(INDEX(الدرجات!$C$3:$W$10,MATCH($A35,الدرجات!$A$3:$A$10,0),8)="","",INDEX(الدرجات!$C$3:$W$10,MATCH($A35,الدرجات!$A$3:$A$10,0),8))</f>
        <v/>
      </c>
      <c r="F35" s="17" t="str">
        <f aca="false">IF(INDEX(الدرجات!$C$3:$W$10,MATCH($A35,الدرجات!$A$3:$A$10,0),9)="","",INDEX(الدرجات!$C$3:$W$10,MATCH($A35,الدرجات!$A$3:$A$10,0),9))</f>
        <v/>
      </c>
      <c r="G35" s="15" t="str">
        <f aca="false">IF(OR(D35="محجوب",E35="محجوب",F35="محجوب"),"",IF(ISNUMBER(F35),IF(الإعدادات!$B$6="سقف",MIN(F35,الإعدادات!$B$10),F35),IF(ISNUMBER(D35),D35,"")))</f>
        <v/>
      </c>
      <c r="H35" s="15" t="str">
        <f aca="false">IF(OR(D35="محجوب",E35="محجوب",F35="محجوب"),"",IF(AND(ISNUMBER(G35),ISNUMBER(E35)),G35+E35,""))</f>
        <v/>
      </c>
      <c r="I35" s="15" t="str">
        <f aca="false">IF(H35="","",IF(H35&gt;=الإعدادات!$B$8,0,IF(ROUND(الإعدادات!$B$8-H35,2)&lt;=الإعدادات!$B$9,ROUND(الإعدادات!$B$8-H35,2),0)))</f>
        <v/>
      </c>
      <c r="J35" s="15" t="str">
        <f aca="false">IF(H35="","",H35+I35)</f>
        <v/>
      </c>
      <c r="K35" s="18" t="str">
        <f aca="false">IF(J35="","",J35/الإعدادات!$B$7)</f>
        <v/>
      </c>
      <c r="L35" s="15" t="str">
        <f aca="false">IF(OR(D35="محجوب",E35="محجوب",F35="محجوب"),"قيد المراجعة",IF(J35="",IF(OR(D35="غائب",D35="بعذر"),"إعادة مطلوبة","لم تكتمل"),IF(ROUND(J35,2)&gt;=ROUND(الإعدادات!$B$8,2),IF(I35&gt;0,"ناجح برأفة","ناجح"),IF(ISNUMBER(F35),"راسب","إعادة مطلوبة"))))</f>
        <v>لم تكتمل</v>
      </c>
    </row>
    <row r="36" customFormat="false" ht="15" hidden="false" customHeight="false" outlineLevel="0" collapsed="false">
      <c r="A36" s="15" t="s">
        <v>54</v>
      </c>
      <c r="B36" s="16" t="str">
        <f aca="false">INDEX(الدرجات!$B$3:$B$10,MATCH($A36,الدرجات!$A$3:$A$10,0))</f>
        <v>كيرلس فادي</v>
      </c>
      <c r="C36" s="16" t="str">
        <f aca="false">الإعدادات!$B$22</f>
        <v>الطقوس والألحان</v>
      </c>
      <c r="D36" s="17" t="str">
        <f aca="false">IF(INDEX(الدرجات!$C$3:$W$10,MATCH($A36,الدرجات!$A$3:$A$10,0),10)="","",INDEX(الدرجات!$C$3:$W$10,MATCH($A36,الدرجات!$A$3:$A$10,0),10))</f>
        <v/>
      </c>
      <c r="E36" s="17" t="str">
        <f aca="false">IF(INDEX(الدرجات!$C$3:$W$10,MATCH($A36,الدرجات!$A$3:$A$10,0),11)="","",INDEX(الدرجات!$C$3:$W$10,MATCH($A36,الدرجات!$A$3:$A$10,0),11))</f>
        <v/>
      </c>
      <c r="F36" s="17" t="str">
        <f aca="false">IF(INDEX(الدرجات!$C$3:$W$10,MATCH($A36,الدرجات!$A$3:$A$10,0),12)="","",INDEX(الدرجات!$C$3:$W$10,MATCH($A36,الدرجات!$A$3:$A$10,0),12))</f>
        <v/>
      </c>
      <c r="G36" s="15" t="str">
        <f aca="false">IF(OR(D36="محجوب",E36="محجوب",F36="محجوب"),"",IF(ISNUMBER(F36),IF(الإعدادات!$B$6="سقف",MIN(F36,الإعدادات!$B$10),F36),IF(ISNUMBER(D36),D36,"")))</f>
        <v/>
      </c>
      <c r="H36" s="15" t="str">
        <f aca="false">IF(OR(D36="محجوب",E36="محجوب",F36="محجوب"),"",IF(AND(ISNUMBER(G36),ISNUMBER(E36)),G36+E36,""))</f>
        <v/>
      </c>
      <c r="I36" s="15" t="str">
        <f aca="false">IF(H36="","",IF(H36&gt;=الإعدادات!$B$8,0,IF(ROUND(الإعدادات!$B$8-H36,2)&lt;=الإعدادات!$B$9,ROUND(الإعدادات!$B$8-H36,2),0)))</f>
        <v/>
      </c>
      <c r="J36" s="15" t="str">
        <f aca="false">IF(H36="","",H36+I36)</f>
        <v/>
      </c>
      <c r="K36" s="18" t="str">
        <f aca="false">IF(J36="","",J36/الإعدادات!$B$7)</f>
        <v/>
      </c>
      <c r="L36" s="15" t="str">
        <f aca="false">IF(OR(D36="محجوب",E36="محجوب",F36="محجوب"),"قيد المراجعة",IF(J36="",IF(OR(D36="غائب",D36="بعذر"),"إعادة مطلوبة","لم تكتمل"),IF(ROUND(J36,2)&gt;=ROUND(الإعدادات!$B$8,2),IF(I36&gt;0,"ناجح برأفة","ناجح"),IF(ISNUMBER(F36),"راسب","إعادة مطلوبة"))))</f>
        <v>لم تكتمل</v>
      </c>
    </row>
    <row r="37" customFormat="false" ht="15" hidden="false" customHeight="false" outlineLevel="0" collapsed="false">
      <c r="A37" s="15" t="s">
        <v>54</v>
      </c>
      <c r="B37" s="16" t="str">
        <f aca="false">INDEX(الدرجات!$B$3:$B$10,MATCH($A37,الدرجات!$A$3:$A$10,0))</f>
        <v>كيرلس فادي</v>
      </c>
      <c r="C37" s="16" t="str">
        <f aca="false">الإعدادات!$B$23</f>
        <v>تاريخ الكنيسة</v>
      </c>
      <c r="D37" s="17" t="str">
        <f aca="false">IF(INDEX(الدرجات!$C$3:$W$10,MATCH($A37,الدرجات!$A$3:$A$10,0),13)="","",INDEX(الدرجات!$C$3:$W$10,MATCH($A37,الدرجات!$A$3:$A$10,0),13))</f>
        <v/>
      </c>
      <c r="E37" s="17" t="str">
        <f aca="false">IF(INDEX(الدرجات!$C$3:$W$10,MATCH($A37,الدرجات!$A$3:$A$10,0),14)="","",INDEX(الدرجات!$C$3:$W$10,MATCH($A37,الدرجات!$A$3:$A$10,0),14))</f>
        <v/>
      </c>
      <c r="F37" s="17" t="str">
        <f aca="false">IF(INDEX(الدرجات!$C$3:$W$10,MATCH($A37,الدرجات!$A$3:$A$10,0),15)="","",INDEX(الدرجات!$C$3:$W$10,MATCH($A37,الدرجات!$A$3:$A$10,0),15))</f>
        <v/>
      </c>
      <c r="G37" s="15" t="str">
        <f aca="false">IF(OR(D37="محجوب",E37="محجوب",F37="محجوب"),"",IF(ISNUMBER(F37),IF(الإعدادات!$B$6="سقف",MIN(F37,الإعدادات!$B$10),F37),IF(ISNUMBER(D37),D37,"")))</f>
        <v/>
      </c>
      <c r="H37" s="15" t="str">
        <f aca="false">IF(OR(D37="محجوب",E37="محجوب",F37="محجوب"),"",IF(AND(ISNUMBER(G37),ISNUMBER(E37)),G37+E37,""))</f>
        <v/>
      </c>
      <c r="I37" s="15" t="str">
        <f aca="false">IF(H37="","",IF(H37&gt;=الإعدادات!$B$8,0,IF(ROUND(الإعدادات!$B$8-H37,2)&lt;=الإعدادات!$B$9,ROUND(الإعدادات!$B$8-H37,2),0)))</f>
        <v/>
      </c>
      <c r="J37" s="15" t="str">
        <f aca="false">IF(H37="","",H37+I37)</f>
        <v/>
      </c>
      <c r="K37" s="18" t="str">
        <f aca="false">IF(J37="","",J37/الإعدادات!$B$7)</f>
        <v/>
      </c>
      <c r="L37" s="15" t="str">
        <f aca="false">IF(OR(D37="محجوب",E37="محجوب",F37="محجوب"),"قيد المراجعة",IF(J37="",IF(OR(D37="غائب",D37="بعذر"),"إعادة مطلوبة","لم تكتمل"),IF(ROUND(J37,2)&gt;=ROUND(الإعدادات!$B$8,2),IF(I37&gt;0,"ناجح برأفة","ناجح"),IF(ISNUMBER(F37),"راسب","إعادة مطلوبة"))))</f>
        <v>لم تكتمل</v>
      </c>
    </row>
    <row r="38" customFormat="false" ht="15" hidden="false" customHeight="false" outlineLevel="0" collapsed="false">
      <c r="A38" s="15" t="s">
        <v>54</v>
      </c>
      <c r="B38" s="16" t="str">
        <f aca="false">INDEX(الدرجات!$B$3:$B$10,MATCH($A38,الدرجات!$A$3:$A$10,0))</f>
        <v>كيرلس فادي</v>
      </c>
      <c r="C38" s="16" t="str">
        <f aca="false">الإعدادات!$B$24</f>
        <v>الرعاية والافتقاد</v>
      </c>
      <c r="D38" s="17" t="str">
        <f aca="false">IF(INDEX(الدرجات!$C$3:$W$10,MATCH($A38,الدرجات!$A$3:$A$10,0),16)="","",INDEX(الدرجات!$C$3:$W$10,MATCH($A38,الدرجات!$A$3:$A$10,0),16))</f>
        <v/>
      </c>
      <c r="E38" s="17" t="str">
        <f aca="false">IF(INDEX(الدرجات!$C$3:$W$10,MATCH($A38,الدرجات!$A$3:$A$10,0),17)="","",INDEX(الدرجات!$C$3:$W$10,MATCH($A38,الدرجات!$A$3:$A$10,0),17))</f>
        <v/>
      </c>
      <c r="F38" s="17" t="str">
        <f aca="false">IF(INDEX(الدرجات!$C$3:$W$10,MATCH($A38,الدرجات!$A$3:$A$10,0),18)="","",INDEX(الدرجات!$C$3:$W$10,MATCH($A38,الدرجات!$A$3:$A$10,0),18))</f>
        <v/>
      </c>
      <c r="G38" s="15" t="str">
        <f aca="false">IF(OR(D38="محجوب",E38="محجوب",F38="محجوب"),"",IF(ISNUMBER(F38),IF(الإعدادات!$B$6="سقف",MIN(F38,الإعدادات!$B$10),F38),IF(ISNUMBER(D38),D38,"")))</f>
        <v/>
      </c>
      <c r="H38" s="15" t="str">
        <f aca="false">IF(OR(D38="محجوب",E38="محجوب",F38="محجوب"),"",IF(AND(ISNUMBER(G38),ISNUMBER(E38)),G38+E38,""))</f>
        <v/>
      </c>
      <c r="I38" s="15" t="str">
        <f aca="false">IF(H38="","",IF(H38&gt;=الإعدادات!$B$8,0,IF(ROUND(الإعدادات!$B$8-H38,2)&lt;=الإعدادات!$B$9,ROUND(الإعدادات!$B$8-H38,2),0)))</f>
        <v/>
      </c>
      <c r="J38" s="15" t="str">
        <f aca="false">IF(H38="","",H38+I38)</f>
        <v/>
      </c>
      <c r="K38" s="18" t="str">
        <f aca="false">IF(J38="","",J38/الإعدادات!$B$7)</f>
        <v/>
      </c>
      <c r="L38" s="15" t="str">
        <f aca="false">IF(OR(D38="محجوب",E38="محجوب",F38="محجوب"),"قيد المراجعة",IF(J38="",IF(OR(D38="غائب",D38="بعذر"),"إعادة مطلوبة","لم تكتمل"),IF(ROUND(J38,2)&gt;=ROUND(الإعدادات!$B$8,2),IF(I38&gt;0,"ناجح برأفة","ناجح"),IF(ISNUMBER(F38),"راسب","إعادة مطلوبة"))))</f>
        <v>لم تكتمل</v>
      </c>
    </row>
    <row r="39" customFormat="false" ht="15" hidden="false" customHeight="false" outlineLevel="0" collapsed="false">
      <c r="A39" s="15" t="s">
        <v>54</v>
      </c>
      <c r="B39" s="16" t="str">
        <f aca="false">INDEX(الدرجات!$B$3:$B$10,MATCH($A39,الدرجات!$A$3:$A$10,0))</f>
        <v>كيرلس فادي</v>
      </c>
      <c r="C39" s="16" t="str">
        <f aca="false">الإعدادات!$B$25</f>
        <v>اللاهوت المقارن</v>
      </c>
      <c r="D39" s="17" t="str">
        <f aca="false">IF(INDEX(الدرجات!$C$3:$W$10,MATCH($A39,الدرجات!$A$3:$A$10,0),19)="","",INDEX(الدرجات!$C$3:$W$10,MATCH($A39,الدرجات!$A$3:$A$10,0),19))</f>
        <v/>
      </c>
      <c r="E39" s="17" t="str">
        <f aca="false">IF(INDEX(الدرجات!$C$3:$W$10,MATCH($A39,الدرجات!$A$3:$A$10,0),20)="","",INDEX(الدرجات!$C$3:$W$10,MATCH($A39,الدرجات!$A$3:$A$10,0),20))</f>
        <v/>
      </c>
      <c r="F39" s="17" t="str">
        <f aca="false">IF(INDEX(الدرجات!$C$3:$W$10,MATCH($A39,الدرجات!$A$3:$A$10,0),21)="","",INDEX(الدرجات!$C$3:$W$10,MATCH($A39,الدرجات!$A$3:$A$10,0),21))</f>
        <v/>
      </c>
      <c r="G39" s="15" t="str">
        <f aca="false">IF(OR(D39="محجوب",E39="محجوب",F39="محجوب"),"",IF(ISNUMBER(F39),IF(الإعدادات!$B$6="سقف",MIN(F39,الإعدادات!$B$10),F39),IF(ISNUMBER(D39),D39,"")))</f>
        <v/>
      </c>
      <c r="H39" s="15" t="str">
        <f aca="false">IF(OR(D39="محجوب",E39="محجوب",F39="محجوب"),"",IF(AND(ISNUMBER(G39),ISNUMBER(E39)),G39+E39,""))</f>
        <v/>
      </c>
      <c r="I39" s="15" t="str">
        <f aca="false">IF(H39="","",IF(H39&gt;=الإعدادات!$B$8,0,IF(ROUND(الإعدادات!$B$8-H39,2)&lt;=الإعدادات!$B$9,ROUND(الإعدادات!$B$8-H39,2),0)))</f>
        <v/>
      </c>
      <c r="J39" s="15" t="str">
        <f aca="false">IF(H39="","",H39+I39)</f>
        <v/>
      </c>
      <c r="K39" s="18" t="str">
        <f aca="false">IF(J39="","",J39/الإعدادات!$B$7)</f>
        <v/>
      </c>
      <c r="L39" s="15" t="str">
        <f aca="false">IF(OR(D39="محجوب",E39="محجوب",F39="محجوب"),"قيد المراجعة",IF(J39="",IF(OR(D39="غائب",D39="بعذر"),"إعادة مطلوبة","لم تكتمل"),IF(ROUND(J39,2)&gt;=ROUND(الإعدادات!$B$8,2),IF(I39&gt;0,"ناجح برأفة","ناجح"),IF(ISNUMBER(F39),"راسب","إعادة مطلوبة"))))</f>
        <v>لم تكتمل</v>
      </c>
    </row>
    <row r="40" customFormat="false" ht="15" hidden="false" customHeight="false" outlineLevel="0" collapsed="false">
      <c r="A40" s="15" t="s">
        <v>56</v>
      </c>
      <c r="B40" s="16" t="str">
        <f aca="false">INDEX(الدرجات!$B$3:$B$10,MATCH($A40,الدرجات!$A$3:$A$10,0))</f>
        <v>إيريني صبحي</v>
      </c>
      <c r="C40" s="16" t="str">
        <f aca="false">الإعدادات!$B$19</f>
        <v>العقيدة المسيحية</v>
      </c>
      <c r="D40" s="17" t="str">
        <f aca="false">IF(INDEX(الدرجات!$C$3:$W$10,MATCH($A40,الدرجات!$A$3:$A$10,0),1)="","",INDEX(الدرجات!$C$3:$W$10,MATCH($A40,الدرجات!$A$3:$A$10,0),1))</f>
        <v/>
      </c>
      <c r="E40" s="17" t="str">
        <f aca="false">IF(INDEX(الدرجات!$C$3:$W$10,MATCH($A40,الدرجات!$A$3:$A$10,0),2)="","",INDEX(الدرجات!$C$3:$W$10,MATCH($A40,الدرجات!$A$3:$A$10,0),2))</f>
        <v/>
      </c>
      <c r="F40" s="17" t="str">
        <f aca="false">IF(INDEX(الدرجات!$C$3:$W$10,MATCH($A40,الدرجات!$A$3:$A$10,0),3)="","",INDEX(الدرجات!$C$3:$W$10,MATCH($A40,الدرجات!$A$3:$A$10,0),3))</f>
        <v/>
      </c>
      <c r="G40" s="15" t="str">
        <f aca="false">IF(OR(D40="محجوب",E40="محجوب",F40="محجوب"),"",IF(ISNUMBER(F40),IF(الإعدادات!$B$6="سقف",MIN(F40,الإعدادات!$B$10),F40),IF(ISNUMBER(D40),D40,"")))</f>
        <v/>
      </c>
      <c r="H40" s="15" t="str">
        <f aca="false">IF(OR(D40="محجوب",E40="محجوب",F40="محجوب"),"",IF(AND(ISNUMBER(G40),ISNUMBER(E40)),G40+E40,""))</f>
        <v/>
      </c>
      <c r="I40" s="15" t="str">
        <f aca="false">IF(H40="","",IF(H40&gt;=الإعدادات!$B$8,0,IF(ROUND(الإعدادات!$B$8-H40,2)&lt;=الإعدادات!$B$9,ROUND(الإعدادات!$B$8-H40,2),0)))</f>
        <v/>
      </c>
      <c r="J40" s="15" t="str">
        <f aca="false">IF(H40="","",H40+I40)</f>
        <v/>
      </c>
      <c r="K40" s="18" t="str">
        <f aca="false">IF(J40="","",J40/الإعدادات!$B$7)</f>
        <v/>
      </c>
      <c r="L40" s="15" t="str">
        <f aca="false">IF(OR(D40="محجوب",E40="محجوب",F40="محجوب"),"قيد المراجعة",IF(J40="",IF(OR(D40="غائب",D40="بعذر"),"إعادة مطلوبة","لم تكتمل"),IF(ROUND(J40,2)&gt;=ROUND(الإعدادات!$B$8,2),IF(I40&gt;0,"ناجح برأفة","ناجح"),IF(ISNUMBER(F40),"راسب","إعادة مطلوبة"))))</f>
        <v>لم تكتمل</v>
      </c>
    </row>
    <row r="41" customFormat="false" ht="15" hidden="false" customHeight="false" outlineLevel="0" collapsed="false">
      <c r="A41" s="15" t="s">
        <v>56</v>
      </c>
      <c r="B41" s="16" t="str">
        <f aca="false">INDEX(الدرجات!$B$3:$B$10,MATCH($A41,الدرجات!$A$3:$A$10,0))</f>
        <v>إيريني صبحي</v>
      </c>
      <c r="C41" s="16" t="str">
        <f aca="false">الإعدادات!$B$20</f>
        <v>العهد القديم</v>
      </c>
      <c r="D41" s="17" t="str">
        <f aca="false">IF(INDEX(الدرجات!$C$3:$W$10,MATCH($A41,الدرجات!$A$3:$A$10,0),4)="","",INDEX(الدرجات!$C$3:$W$10,MATCH($A41,الدرجات!$A$3:$A$10,0),4))</f>
        <v/>
      </c>
      <c r="E41" s="17" t="str">
        <f aca="false">IF(INDEX(الدرجات!$C$3:$W$10,MATCH($A41,الدرجات!$A$3:$A$10,0),5)="","",INDEX(الدرجات!$C$3:$W$10,MATCH($A41,الدرجات!$A$3:$A$10,0),5))</f>
        <v/>
      </c>
      <c r="F41" s="17" t="str">
        <f aca="false">IF(INDEX(الدرجات!$C$3:$W$10,MATCH($A41,الدرجات!$A$3:$A$10,0),6)="","",INDEX(الدرجات!$C$3:$W$10,MATCH($A41,الدرجات!$A$3:$A$10,0),6))</f>
        <v/>
      </c>
      <c r="G41" s="15" t="str">
        <f aca="false">IF(OR(D41="محجوب",E41="محجوب",F41="محجوب"),"",IF(ISNUMBER(F41),IF(الإعدادات!$B$6="سقف",MIN(F41,الإعدادات!$B$10),F41),IF(ISNUMBER(D41),D41,"")))</f>
        <v/>
      </c>
      <c r="H41" s="15" t="str">
        <f aca="false">IF(OR(D41="محجوب",E41="محجوب",F41="محجوب"),"",IF(AND(ISNUMBER(G41),ISNUMBER(E41)),G41+E41,""))</f>
        <v/>
      </c>
      <c r="I41" s="15" t="str">
        <f aca="false">IF(H41="","",IF(H41&gt;=الإعدادات!$B$8,0,IF(ROUND(الإعدادات!$B$8-H41,2)&lt;=الإعدادات!$B$9,ROUND(الإعدادات!$B$8-H41,2),0)))</f>
        <v/>
      </c>
      <c r="J41" s="15" t="str">
        <f aca="false">IF(H41="","",H41+I41)</f>
        <v/>
      </c>
      <c r="K41" s="18" t="str">
        <f aca="false">IF(J41="","",J41/الإعدادات!$B$7)</f>
        <v/>
      </c>
      <c r="L41" s="15" t="str">
        <f aca="false">IF(OR(D41="محجوب",E41="محجوب",F41="محجوب"),"قيد المراجعة",IF(J41="",IF(OR(D41="غائب",D41="بعذر"),"إعادة مطلوبة","لم تكتمل"),IF(ROUND(J41,2)&gt;=ROUND(الإعدادات!$B$8,2),IF(I41&gt;0,"ناجح برأفة","ناجح"),IF(ISNUMBER(F41),"راسب","إعادة مطلوبة"))))</f>
        <v>لم تكتمل</v>
      </c>
    </row>
    <row r="42" customFormat="false" ht="15" hidden="false" customHeight="false" outlineLevel="0" collapsed="false">
      <c r="A42" s="15" t="s">
        <v>56</v>
      </c>
      <c r="B42" s="16" t="str">
        <f aca="false">INDEX(الدرجات!$B$3:$B$10,MATCH($A42,الدرجات!$A$3:$A$10,0))</f>
        <v>إيريني صبحي</v>
      </c>
      <c r="C42" s="16" t="str">
        <f aca="false">الإعدادات!$B$21</f>
        <v>العهد الجديد</v>
      </c>
      <c r="D42" s="17" t="str">
        <f aca="false">IF(INDEX(الدرجات!$C$3:$W$10,MATCH($A42,الدرجات!$A$3:$A$10,0),7)="","",INDEX(الدرجات!$C$3:$W$10,MATCH($A42,الدرجات!$A$3:$A$10,0),7))</f>
        <v/>
      </c>
      <c r="E42" s="17" t="str">
        <f aca="false">IF(INDEX(الدرجات!$C$3:$W$10,MATCH($A42,الدرجات!$A$3:$A$10,0),8)="","",INDEX(الدرجات!$C$3:$W$10,MATCH($A42,الدرجات!$A$3:$A$10,0),8))</f>
        <v/>
      </c>
      <c r="F42" s="17" t="str">
        <f aca="false">IF(INDEX(الدرجات!$C$3:$W$10,MATCH($A42,الدرجات!$A$3:$A$10,0),9)="","",INDEX(الدرجات!$C$3:$W$10,MATCH($A42,الدرجات!$A$3:$A$10,0),9))</f>
        <v/>
      </c>
      <c r="G42" s="15" t="str">
        <f aca="false">IF(OR(D42="محجوب",E42="محجوب",F42="محجوب"),"",IF(ISNUMBER(F42),IF(الإعدادات!$B$6="سقف",MIN(F42,الإعدادات!$B$10),F42),IF(ISNUMBER(D42),D42,"")))</f>
        <v/>
      </c>
      <c r="H42" s="15" t="str">
        <f aca="false">IF(OR(D42="محجوب",E42="محجوب",F42="محجوب"),"",IF(AND(ISNUMBER(G42),ISNUMBER(E42)),G42+E42,""))</f>
        <v/>
      </c>
      <c r="I42" s="15" t="str">
        <f aca="false">IF(H42="","",IF(H42&gt;=الإعدادات!$B$8,0,IF(ROUND(الإعدادات!$B$8-H42,2)&lt;=الإعدادات!$B$9,ROUND(الإعدادات!$B$8-H42,2),0)))</f>
        <v/>
      </c>
      <c r="J42" s="15" t="str">
        <f aca="false">IF(H42="","",H42+I42)</f>
        <v/>
      </c>
      <c r="K42" s="18" t="str">
        <f aca="false">IF(J42="","",J42/الإعدادات!$B$7)</f>
        <v/>
      </c>
      <c r="L42" s="15" t="str">
        <f aca="false">IF(OR(D42="محجوب",E42="محجوب",F42="محجوب"),"قيد المراجعة",IF(J42="",IF(OR(D42="غائب",D42="بعذر"),"إعادة مطلوبة","لم تكتمل"),IF(ROUND(J42,2)&gt;=ROUND(الإعدادات!$B$8,2),IF(I42&gt;0,"ناجح برأفة","ناجح"),IF(ISNUMBER(F42),"راسب","إعادة مطلوبة"))))</f>
        <v>لم تكتمل</v>
      </c>
    </row>
    <row r="43" customFormat="false" ht="15" hidden="false" customHeight="false" outlineLevel="0" collapsed="false">
      <c r="A43" s="15" t="s">
        <v>56</v>
      </c>
      <c r="B43" s="16" t="str">
        <f aca="false">INDEX(الدرجات!$B$3:$B$10,MATCH($A43,الدرجات!$A$3:$A$10,0))</f>
        <v>إيريني صبحي</v>
      </c>
      <c r="C43" s="16" t="str">
        <f aca="false">الإعدادات!$B$22</f>
        <v>الطقوس والألحان</v>
      </c>
      <c r="D43" s="17" t="str">
        <f aca="false">IF(INDEX(الدرجات!$C$3:$W$10,MATCH($A43,الدرجات!$A$3:$A$10,0),10)="","",INDEX(الدرجات!$C$3:$W$10,MATCH($A43,الدرجات!$A$3:$A$10,0),10))</f>
        <v/>
      </c>
      <c r="E43" s="17" t="str">
        <f aca="false">IF(INDEX(الدرجات!$C$3:$W$10,MATCH($A43,الدرجات!$A$3:$A$10,0),11)="","",INDEX(الدرجات!$C$3:$W$10,MATCH($A43,الدرجات!$A$3:$A$10,0),11))</f>
        <v/>
      </c>
      <c r="F43" s="17" t="str">
        <f aca="false">IF(INDEX(الدرجات!$C$3:$W$10,MATCH($A43,الدرجات!$A$3:$A$10,0),12)="","",INDEX(الدرجات!$C$3:$W$10,MATCH($A43,الدرجات!$A$3:$A$10,0),12))</f>
        <v/>
      </c>
      <c r="G43" s="15" t="str">
        <f aca="false">IF(OR(D43="محجوب",E43="محجوب",F43="محجوب"),"",IF(ISNUMBER(F43),IF(الإعدادات!$B$6="سقف",MIN(F43,الإعدادات!$B$10),F43),IF(ISNUMBER(D43),D43,"")))</f>
        <v/>
      </c>
      <c r="H43" s="15" t="str">
        <f aca="false">IF(OR(D43="محجوب",E43="محجوب",F43="محجوب"),"",IF(AND(ISNUMBER(G43),ISNUMBER(E43)),G43+E43,""))</f>
        <v/>
      </c>
      <c r="I43" s="15" t="str">
        <f aca="false">IF(H43="","",IF(H43&gt;=الإعدادات!$B$8,0,IF(ROUND(الإعدادات!$B$8-H43,2)&lt;=الإعدادات!$B$9,ROUND(الإعدادات!$B$8-H43,2),0)))</f>
        <v/>
      </c>
      <c r="J43" s="15" t="str">
        <f aca="false">IF(H43="","",H43+I43)</f>
        <v/>
      </c>
      <c r="K43" s="18" t="str">
        <f aca="false">IF(J43="","",J43/الإعدادات!$B$7)</f>
        <v/>
      </c>
      <c r="L43" s="15" t="str">
        <f aca="false">IF(OR(D43="محجوب",E43="محجوب",F43="محجوب"),"قيد المراجعة",IF(J43="",IF(OR(D43="غائب",D43="بعذر"),"إعادة مطلوبة","لم تكتمل"),IF(ROUND(J43,2)&gt;=ROUND(الإعدادات!$B$8,2),IF(I43&gt;0,"ناجح برأفة","ناجح"),IF(ISNUMBER(F43),"راسب","إعادة مطلوبة"))))</f>
        <v>لم تكتمل</v>
      </c>
    </row>
    <row r="44" customFormat="false" ht="15" hidden="false" customHeight="false" outlineLevel="0" collapsed="false">
      <c r="A44" s="15" t="s">
        <v>56</v>
      </c>
      <c r="B44" s="16" t="str">
        <f aca="false">INDEX(الدرجات!$B$3:$B$10,MATCH($A44,الدرجات!$A$3:$A$10,0))</f>
        <v>إيريني صبحي</v>
      </c>
      <c r="C44" s="16" t="str">
        <f aca="false">الإعدادات!$B$23</f>
        <v>تاريخ الكنيسة</v>
      </c>
      <c r="D44" s="17" t="str">
        <f aca="false">IF(INDEX(الدرجات!$C$3:$W$10,MATCH($A44,الدرجات!$A$3:$A$10,0),13)="","",INDEX(الدرجات!$C$3:$W$10,MATCH($A44,الدرجات!$A$3:$A$10,0),13))</f>
        <v/>
      </c>
      <c r="E44" s="17" t="str">
        <f aca="false">IF(INDEX(الدرجات!$C$3:$W$10,MATCH($A44,الدرجات!$A$3:$A$10,0),14)="","",INDEX(الدرجات!$C$3:$W$10,MATCH($A44,الدرجات!$A$3:$A$10,0),14))</f>
        <v/>
      </c>
      <c r="F44" s="17" t="str">
        <f aca="false">IF(INDEX(الدرجات!$C$3:$W$10,MATCH($A44,الدرجات!$A$3:$A$10,0),15)="","",INDEX(الدرجات!$C$3:$W$10,MATCH($A44,الدرجات!$A$3:$A$10,0),15))</f>
        <v/>
      </c>
      <c r="G44" s="15" t="str">
        <f aca="false">IF(OR(D44="محجوب",E44="محجوب",F44="محجوب"),"",IF(ISNUMBER(F44),IF(الإعدادات!$B$6="سقف",MIN(F44,الإعدادات!$B$10),F44),IF(ISNUMBER(D44),D44,"")))</f>
        <v/>
      </c>
      <c r="H44" s="15" t="str">
        <f aca="false">IF(OR(D44="محجوب",E44="محجوب",F44="محجوب"),"",IF(AND(ISNUMBER(G44),ISNUMBER(E44)),G44+E44,""))</f>
        <v/>
      </c>
      <c r="I44" s="15" t="str">
        <f aca="false">IF(H44="","",IF(H44&gt;=الإعدادات!$B$8,0,IF(ROUND(الإعدادات!$B$8-H44,2)&lt;=الإعدادات!$B$9,ROUND(الإعدادات!$B$8-H44,2),0)))</f>
        <v/>
      </c>
      <c r="J44" s="15" t="str">
        <f aca="false">IF(H44="","",H44+I44)</f>
        <v/>
      </c>
      <c r="K44" s="18" t="str">
        <f aca="false">IF(J44="","",J44/الإعدادات!$B$7)</f>
        <v/>
      </c>
      <c r="L44" s="15" t="str">
        <f aca="false">IF(OR(D44="محجوب",E44="محجوب",F44="محجوب"),"قيد المراجعة",IF(J44="",IF(OR(D44="غائب",D44="بعذر"),"إعادة مطلوبة","لم تكتمل"),IF(ROUND(J44,2)&gt;=ROUND(الإعدادات!$B$8,2),IF(I44&gt;0,"ناجح برأفة","ناجح"),IF(ISNUMBER(F44),"راسب","إعادة مطلوبة"))))</f>
        <v>لم تكتمل</v>
      </c>
    </row>
    <row r="45" customFormat="false" ht="15" hidden="false" customHeight="false" outlineLevel="0" collapsed="false">
      <c r="A45" s="15" t="s">
        <v>56</v>
      </c>
      <c r="B45" s="16" t="str">
        <f aca="false">INDEX(الدرجات!$B$3:$B$10,MATCH($A45,الدرجات!$A$3:$A$10,0))</f>
        <v>إيريني صبحي</v>
      </c>
      <c r="C45" s="16" t="str">
        <f aca="false">الإعدادات!$B$24</f>
        <v>الرعاية والافتقاد</v>
      </c>
      <c r="D45" s="17" t="str">
        <f aca="false">IF(INDEX(الدرجات!$C$3:$W$10,MATCH($A45,الدرجات!$A$3:$A$10,0),16)="","",INDEX(الدرجات!$C$3:$W$10,MATCH($A45,الدرجات!$A$3:$A$10,0),16))</f>
        <v/>
      </c>
      <c r="E45" s="17" t="str">
        <f aca="false">IF(INDEX(الدرجات!$C$3:$W$10,MATCH($A45,الدرجات!$A$3:$A$10,0),17)="","",INDEX(الدرجات!$C$3:$W$10,MATCH($A45,الدرجات!$A$3:$A$10,0),17))</f>
        <v/>
      </c>
      <c r="F45" s="17" t="str">
        <f aca="false">IF(INDEX(الدرجات!$C$3:$W$10,MATCH($A45,الدرجات!$A$3:$A$10,0),18)="","",INDEX(الدرجات!$C$3:$W$10,MATCH($A45,الدرجات!$A$3:$A$10,0),18))</f>
        <v/>
      </c>
      <c r="G45" s="15" t="str">
        <f aca="false">IF(OR(D45="محجوب",E45="محجوب",F45="محجوب"),"",IF(ISNUMBER(F45),IF(الإعدادات!$B$6="سقف",MIN(F45,الإعدادات!$B$10),F45),IF(ISNUMBER(D45),D45,"")))</f>
        <v/>
      </c>
      <c r="H45" s="15" t="str">
        <f aca="false">IF(OR(D45="محجوب",E45="محجوب",F45="محجوب"),"",IF(AND(ISNUMBER(G45),ISNUMBER(E45)),G45+E45,""))</f>
        <v/>
      </c>
      <c r="I45" s="15" t="str">
        <f aca="false">IF(H45="","",IF(H45&gt;=الإعدادات!$B$8,0,IF(ROUND(الإعدادات!$B$8-H45,2)&lt;=الإعدادات!$B$9,ROUND(الإعدادات!$B$8-H45,2),0)))</f>
        <v/>
      </c>
      <c r="J45" s="15" t="str">
        <f aca="false">IF(H45="","",H45+I45)</f>
        <v/>
      </c>
      <c r="K45" s="18" t="str">
        <f aca="false">IF(J45="","",J45/الإعدادات!$B$7)</f>
        <v/>
      </c>
      <c r="L45" s="15" t="str">
        <f aca="false">IF(OR(D45="محجوب",E45="محجوب",F45="محجوب"),"قيد المراجعة",IF(J45="",IF(OR(D45="غائب",D45="بعذر"),"إعادة مطلوبة","لم تكتمل"),IF(ROUND(J45,2)&gt;=ROUND(الإعدادات!$B$8,2),IF(I45&gt;0,"ناجح برأفة","ناجح"),IF(ISNUMBER(F45),"راسب","إعادة مطلوبة"))))</f>
        <v>لم تكتمل</v>
      </c>
    </row>
    <row r="46" customFormat="false" ht="15" hidden="false" customHeight="false" outlineLevel="0" collapsed="false">
      <c r="A46" s="15" t="s">
        <v>56</v>
      </c>
      <c r="B46" s="16" t="str">
        <f aca="false">INDEX(الدرجات!$B$3:$B$10,MATCH($A46,الدرجات!$A$3:$A$10,0))</f>
        <v>إيريني صبحي</v>
      </c>
      <c r="C46" s="16" t="str">
        <f aca="false">الإعدادات!$B$25</f>
        <v>اللاهوت المقارن</v>
      </c>
      <c r="D46" s="17" t="str">
        <f aca="false">IF(INDEX(الدرجات!$C$3:$W$10,MATCH($A46,الدرجات!$A$3:$A$10,0),19)="","",INDEX(الدرجات!$C$3:$W$10,MATCH($A46,الدرجات!$A$3:$A$10,0),19))</f>
        <v/>
      </c>
      <c r="E46" s="17" t="str">
        <f aca="false">IF(INDEX(الدرجات!$C$3:$W$10,MATCH($A46,الدرجات!$A$3:$A$10,0),20)="","",INDEX(الدرجات!$C$3:$W$10,MATCH($A46,الدرجات!$A$3:$A$10,0),20))</f>
        <v/>
      </c>
      <c r="F46" s="17" t="str">
        <f aca="false">IF(INDEX(الدرجات!$C$3:$W$10,MATCH($A46,الدرجات!$A$3:$A$10,0),21)="","",INDEX(الدرجات!$C$3:$W$10,MATCH($A46,الدرجات!$A$3:$A$10,0),21))</f>
        <v/>
      </c>
      <c r="G46" s="15" t="str">
        <f aca="false">IF(OR(D46="محجوب",E46="محجوب",F46="محجوب"),"",IF(ISNUMBER(F46),IF(الإعدادات!$B$6="سقف",MIN(F46,الإعدادات!$B$10),F46),IF(ISNUMBER(D46),D46,"")))</f>
        <v/>
      </c>
      <c r="H46" s="15" t="str">
        <f aca="false">IF(OR(D46="محجوب",E46="محجوب",F46="محجوب"),"",IF(AND(ISNUMBER(G46),ISNUMBER(E46)),G46+E46,""))</f>
        <v/>
      </c>
      <c r="I46" s="15" t="str">
        <f aca="false">IF(H46="","",IF(H46&gt;=الإعدادات!$B$8,0,IF(ROUND(الإعدادات!$B$8-H46,2)&lt;=الإعدادات!$B$9,ROUND(الإعدادات!$B$8-H46,2),0)))</f>
        <v/>
      </c>
      <c r="J46" s="15" t="str">
        <f aca="false">IF(H46="","",H46+I46)</f>
        <v/>
      </c>
      <c r="K46" s="18" t="str">
        <f aca="false">IF(J46="","",J46/الإعدادات!$B$7)</f>
        <v/>
      </c>
      <c r="L46" s="15" t="str">
        <f aca="false">IF(OR(D46="محجوب",E46="محجوب",F46="محجوب"),"قيد المراجعة",IF(J46="",IF(OR(D46="غائب",D46="بعذر"),"إعادة مطلوبة","لم تكتمل"),IF(ROUND(J46,2)&gt;=ROUND(الإعدادات!$B$8,2),IF(I46&gt;0,"ناجح برأفة","ناجح"),IF(ISNUMBER(F46),"راسب","إعادة مطلوبة"))))</f>
        <v>لم تكتمل</v>
      </c>
    </row>
    <row r="47" customFormat="false" ht="15" hidden="false" customHeight="false" outlineLevel="0" collapsed="false">
      <c r="A47" s="15" t="s">
        <v>58</v>
      </c>
      <c r="B47" s="16" t="str">
        <f aca="false">INDEX(الدرجات!$B$3:$B$10,MATCH($A47,الدرجات!$A$3:$A$10,0))</f>
        <v>مارك ماهر</v>
      </c>
      <c r="C47" s="16" t="str">
        <f aca="false">الإعدادات!$B$19</f>
        <v>العقيدة المسيحية</v>
      </c>
      <c r="D47" s="17" t="str">
        <f aca="false">IF(INDEX(الدرجات!$C$3:$W$10,MATCH($A47,الدرجات!$A$3:$A$10,0),1)="","",INDEX(الدرجات!$C$3:$W$10,MATCH($A47,الدرجات!$A$3:$A$10,0),1))</f>
        <v/>
      </c>
      <c r="E47" s="17" t="str">
        <f aca="false">IF(INDEX(الدرجات!$C$3:$W$10,MATCH($A47,الدرجات!$A$3:$A$10,0),2)="","",INDEX(الدرجات!$C$3:$W$10,MATCH($A47,الدرجات!$A$3:$A$10,0),2))</f>
        <v/>
      </c>
      <c r="F47" s="17" t="str">
        <f aca="false">IF(INDEX(الدرجات!$C$3:$W$10,MATCH($A47,الدرجات!$A$3:$A$10,0),3)="","",INDEX(الدرجات!$C$3:$W$10,MATCH($A47,الدرجات!$A$3:$A$10,0),3))</f>
        <v/>
      </c>
      <c r="G47" s="15" t="str">
        <f aca="false">IF(OR(D47="محجوب",E47="محجوب",F47="محجوب"),"",IF(ISNUMBER(F47),IF(الإعدادات!$B$6="سقف",MIN(F47,الإعدادات!$B$10),F47),IF(ISNUMBER(D47),D47,"")))</f>
        <v/>
      </c>
      <c r="H47" s="15" t="str">
        <f aca="false">IF(OR(D47="محجوب",E47="محجوب",F47="محجوب"),"",IF(AND(ISNUMBER(G47),ISNUMBER(E47)),G47+E47,""))</f>
        <v/>
      </c>
      <c r="I47" s="15" t="str">
        <f aca="false">IF(H47="","",IF(H47&gt;=الإعدادات!$B$8,0,IF(ROUND(الإعدادات!$B$8-H47,2)&lt;=الإعدادات!$B$9,ROUND(الإعدادات!$B$8-H47,2),0)))</f>
        <v/>
      </c>
      <c r="J47" s="15" t="str">
        <f aca="false">IF(H47="","",H47+I47)</f>
        <v/>
      </c>
      <c r="K47" s="18" t="str">
        <f aca="false">IF(J47="","",J47/الإعدادات!$B$7)</f>
        <v/>
      </c>
      <c r="L47" s="15" t="str">
        <f aca="false">IF(OR(D47="محجوب",E47="محجوب",F47="محجوب"),"قيد المراجعة",IF(J47="",IF(OR(D47="غائب",D47="بعذر"),"إعادة مطلوبة","لم تكتمل"),IF(ROUND(J47,2)&gt;=ROUND(الإعدادات!$B$8,2),IF(I47&gt;0,"ناجح برأفة","ناجح"),IF(ISNUMBER(F47),"راسب","إعادة مطلوبة"))))</f>
        <v>لم تكتمل</v>
      </c>
    </row>
    <row r="48" customFormat="false" ht="15" hidden="false" customHeight="false" outlineLevel="0" collapsed="false">
      <c r="A48" s="15" t="s">
        <v>58</v>
      </c>
      <c r="B48" s="16" t="str">
        <f aca="false">INDEX(الدرجات!$B$3:$B$10,MATCH($A48,الدرجات!$A$3:$A$10,0))</f>
        <v>مارك ماهر</v>
      </c>
      <c r="C48" s="16" t="str">
        <f aca="false">الإعدادات!$B$20</f>
        <v>العهد القديم</v>
      </c>
      <c r="D48" s="17" t="str">
        <f aca="false">IF(INDEX(الدرجات!$C$3:$W$10,MATCH($A48,الدرجات!$A$3:$A$10,0),4)="","",INDEX(الدرجات!$C$3:$W$10,MATCH($A48,الدرجات!$A$3:$A$10,0),4))</f>
        <v/>
      </c>
      <c r="E48" s="17" t="str">
        <f aca="false">IF(INDEX(الدرجات!$C$3:$W$10,MATCH($A48,الدرجات!$A$3:$A$10,0),5)="","",INDEX(الدرجات!$C$3:$W$10,MATCH($A48,الدرجات!$A$3:$A$10,0),5))</f>
        <v/>
      </c>
      <c r="F48" s="17" t="str">
        <f aca="false">IF(INDEX(الدرجات!$C$3:$W$10,MATCH($A48,الدرجات!$A$3:$A$10,0),6)="","",INDEX(الدرجات!$C$3:$W$10,MATCH($A48,الدرجات!$A$3:$A$10,0),6))</f>
        <v/>
      </c>
      <c r="G48" s="15" t="str">
        <f aca="false">IF(OR(D48="محجوب",E48="محجوب",F48="محجوب"),"",IF(ISNUMBER(F48),IF(الإعدادات!$B$6="سقف",MIN(F48,الإعدادات!$B$10),F48),IF(ISNUMBER(D48),D48,"")))</f>
        <v/>
      </c>
      <c r="H48" s="15" t="str">
        <f aca="false">IF(OR(D48="محجوب",E48="محجوب",F48="محجوب"),"",IF(AND(ISNUMBER(G48),ISNUMBER(E48)),G48+E48,""))</f>
        <v/>
      </c>
      <c r="I48" s="15" t="str">
        <f aca="false">IF(H48="","",IF(H48&gt;=الإعدادات!$B$8,0,IF(ROUND(الإعدادات!$B$8-H48,2)&lt;=الإعدادات!$B$9,ROUND(الإعدادات!$B$8-H48,2),0)))</f>
        <v/>
      </c>
      <c r="J48" s="15" t="str">
        <f aca="false">IF(H48="","",H48+I48)</f>
        <v/>
      </c>
      <c r="K48" s="18" t="str">
        <f aca="false">IF(J48="","",J48/الإعدادات!$B$7)</f>
        <v/>
      </c>
      <c r="L48" s="15" t="str">
        <f aca="false">IF(OR(D48="محجوب",E48="محجوب",F48="محجوب"),"قيد المراجعة",IF(J48="",IF(OR(D48="غائب",D48="بعذر"),"إعادة مطلوبة","لم تكتمل"),IF(ROUND(J48,2)&gt;=ROUND(الإعدادات!$B$8,2),IF(I48&gt;0,"ناجح برأفة","ناجح"),IF(ISNUMBER(F48),"راسب","إعادة مطلوبة"))))</f>
        <v>لم تكتمل</v>
      </c>
    </row>
    <row r="49" customFormat="false" ht="15" hidden="false" customHeight="false" outlineLevel="0" collapsed="false">
      <c r="A49" s="15" t="s">
        <v>58</v>
      </c>
      <c r="B49" s="16" t="str">
        <f aca="false">INDEX(الدرجات!$B$3:$B$10,MATCH($A49,الدرجات!$A$3:$A$10,0))</f>
        <v>مارك ماهر</v>
      </c>
      <c r="C49" s="16" t="str">
        <f aca="false">الإعدادات!$B$21</f>
        <v>العهد الجديد</v>
      </c>
      <c r="D49" s="17" t="str">
        <f aca="false">IF(INDEX(الدرجات!$C$3:$W$10,MATCH($A49,الدرجات!$A$3:$A$10,0),7)="","",INDEX(الدرجات!$C$3:$W$10,MATCH($A49,الدرجات!$A$3:$A$10,0),7))</f>
        <v/>
      </c>
      <c r="E49" s="17" t="str">
        <f aca="false">IF(INDEX(الدرجات!$C$3:$W$10,MATCH($A49,الدرجات!$A$3:$A$10,0),8)="","",INDEX(الدرجات!$C$3:$W$10,MATCH($A49,الدرجات!$A$3:$A$10,0),8))</f>
        <v/>
      </c>
      <c r="F49" s="17" t="str">
        <f aca="false">IF(INDEX(الدرجات!$C$3:$W$10,MATCH($A49,الدرجات!$A$3:$A$10,0),9)="","",INDEX(الدرجات!$C$3:$W$10,MATCH($A49,الدرجات!$A$3:$A$10,0),9))</f>
        <v/>
      </c>
      <c r="G49" s="15" t="str">
        <f aca="false">IF(OR(D49="محجوب",E49="محجوب",F49="محجوب"),"",IF(ISNUMBER(F49),IF(الإعدادات!$B$6="سقف",MIN(F49,الإعدادات!$B$10),F49),IF(ISNUMBER(D49),D49,"")))</f>
        <v/>
      </c>
      <c r="H49" s="15" t="str">
        <f aca="false">IF(OR(D49="محجوب",E49="محجوب",F49="محجوب"),"",IF(AND(ISNUMBER(G49),ISNUMBER(E49)),G49+E49,""))</f>
        <v/>
      </c>
      <c r="I49" s="15" t="str">
        <f aca="false">IF(H49="","",IF(H49&gt;=الإعدادات!$B$8,0,IF(ROUND(الإعدادات!$B$8-H49,2)&lt;=الإعدادات!$B$9,ROUND(الإعدادات!$B$8-H49,2),0)))</f>
        <v/>
      </c>
      <c r="J49" s="15" t="str">
        <f aca="false">IF(H49="","",H49+I49)</f>
        <v/>
      </c>
      <c r="K49" s="18" t="str">
        <f aca="false">IF(J49="","",J49/الإعدادات!$B$7)</f>
        <v/>
      </c>
      <c r="L49" s="15" t="str">
        <f aca="false">IF(OR(D49="محجوب",E49="محجوب",F49="محجوب"),"قيد المراجعة",IF(J49="",IF(OR(D49="غائب",D49="بعذر"),"إعادة مطلوبة","لم تكتمل"),IF(ROUND(J49,2)&gt;=ROUND(الإعدادات!$B$8,2),IF(I49&gt;0,"ناجح برأفة","ناجح"),IF(ISNUMBER(F49),"راسب","إعادة مطلوبة"))))</f>
        <v>لم تكتمل</v>
      </c>
    </row>
    <row r="50" customFormat="false" ht="15" hidden="false" customHeight="false" outlineLevel="0" collapsed="false">
      <c r="A50" s="15" t="s">
        <v>58</v>
      </c>
      <c r="B50" s="16" t="str">
        <f aca="false">INDEX(الدرجات!$B$3:$B$10,MATCH($A50,الدرجات!$A$3:$A$10,0))</f>
        <v>مارك ماهر</v>
      </c>
      <c r="C50" s="16" t="str">
        <f aca="false">الإعدادات!$B$22</f>
        <v>الطقوس والألحان</v>
      </c>
      <c r="D50" s="17" t="str">
        <f aca="false">IF(INDEX(الدرجات!$C$3:$W$10,MATCH($A50,الدرجات!$A$3:$A$10,0),10)="","",INDEX(الدرجات!$C$3:$W$10,MATCH($A50,الدرجات!$A$3:$A$10,0),10))</f>
        <v/>
      </c>
      <c r="E50" s="17" t="str">
        <f aca="false">IF(INDEX(الدرجات!$C$3:$W$10,MATCH($A50,الدرجات!$A$3:$A$10,0),11)="","",INDEX(الدرجات!$C$3:$W$10,MATCH($A50,الدرجات!$A$3:$A$10,0),11))</f>
        <v/>
      </c>
      <c r="F50" s="17" t="str">
        <f aca="false">IF(INDEX(الدرجات!$C$3:$W$10,MATCH($A50,الدرجات!$A$3:$A$10,0),12)="","",INDEX(الدرجات!$C$3:$W$10,MATCH($A50,الدرجات!$A$3:$A$10,0),12))</f>
        <v/>
      </c>
      <c r="G50" s="15" t="str">
        <f aca="false">IF(OR(D50="محجوب",E50="محجوب",F50="محجوب"),"",IF(ISNUMBER(F50),IF(الإعدادات!$B$6="سقف",MIN(F50,الإعدادات!$B$10),F50),IF(ISNUMBER(D50),D50,"")))</f>
        <v/>
      </c>
      <c r="H50" s="15" t="str">
        <f aca="false">IF(OR(D50="محجوب",E50="محجوب",F50="محجوب"),"",IF(AND(ISNUMBER(G50),ISNUMBER(E50)),G50+E50,""))</f>
        <v/>
      </c>
      <c r="I50" s="15" t="str">
        <f aca="false">IF(H50="","",IF(H50&gt;=الإعدادات!$B$8,0,IF(ROUND(الإعدادات!$B$8-H50,2)&lt;=الإعدادات!$B$9,ROUND(الإعدادات!$B$8-H50,2),0)))</f>
        <v/>
      </c>
      <c r="J50" s="15" t="str">
        <f aca="false">IF(H50="","",H50+I50)</f>
        <v/>
      </c>
      <c r="K50" s="18" t="str">
        <f aca="false">IF(J50="","",J50/الإعدادات!$B$7)</f>
        <v/>
      </c>
      <c r="L50" s="15" t="str">
        <f aca="false">IF(OR(D50="محجوب",E50="محجوب",F50="محجوب"),"قيد المراجعة",IF(J50="",IF(OR(D50="غائب",D50="بعذر"),"إعادة مطلوبة","لم تكتمل"),IF(ROUND(J50,2)&gt;=ROUND(الإعدادات!$B$8,2),IF(I50&gt;0,"ناجح برأفة","ناجح"),IF(ISNUMBER(F50),"راسب","إعادة مطلوبة"))))</f>
        <v>لم تكتمل</v>
      </c>
    </row>
    <row r="51" customFormat="false" ht="15" hidden="false" customHeight="false" outlineLevel="0" collapsed="false">
      <c r="A51" s="15" t="s">
        <v>58</v>
      </c>
      <c r="B51" s="16" t="str">
        <f aca="false">INDEX(الدرجات!$B$3:$B$10,MATCH($A51,الدرجات!$A$3:$A$10,0))</f>
        <v>مارك ماهر</v>
      </c>
      <c r="C51" s="16" t="str">
        <f aca="false">الإعدادات!$B$23</f>
        <v>تاريخ الكنيسة</v>
      </c>
      <c r="D51" s="17" t="str">
        <f aca="false">IF(INDEX(الدرجات!$C$3:$W$10,MATCH($A51,الدرجات!$A$3:$A$10,0),13)="","",INDEX(الدرجات!$C$3:$W$10,MATCH($A51,الدرجات!$A$3:$A$10,0),13))</f>
        <v/>
      </c>
      <c r="E51" s="17" t="str">
        <f aca="false">IF(INDEX(الدرجات!$C$3:$W$10,MATCH($A51,الدرجات!$A$3:$A$10,0),14)="","",INDEX(الدرجات!$C$3:$W$10,MATCH($A51,الدرجات!$A$3:$A$10,0),14))</f>
        <v/>
      </c>
      <c r="F51" s="17" t="str">
        <f aca="false">IF(INDEX(الدرجات!$C$3:$W$10,MATCH($A51,الدرجات!$A$3:$A$10,0),15)="","",INDEX(الدرجات!$C$3:$W$10,MATCH($A51,الدرجات!$A$3:$A$10,0),15))</f>
        <v/>
      </c>
      <c r="G51" s="15" t="str">
        <f aca="false">IF(OR(D51="محجوب",E51="محجوب",F51="محجوب"),"",IF(ISNUMBER(F51),IF(الإعدادات!$B$6="سقف",MIN(F51,الإعدادات!$B$10),F51),IF(ISNUMBER(D51),D51,"")))</f>
        <v/>
      </c>
      <c r="H51" s="15" t="str">
        <f aca="false">IF(OR(D51="محجوب",E51="محجوب",F51="محجوب"),"",IF(AND(ISNUMBER(G51),ISNUMBER(E51)),G51+E51,""))</f>
        <v/>
      </c>
      <c r="I51" s="15" t="str">
        <f aca="false">IF(H51="","",IF(H51&gt;=الإعدادات!$B$8,0,IF(ROUND(الإعدادات!$B$8-H51,2)&lt;=الإعدادات!$B$9,ROUND(الإعدادات!$B$8-H51,2),0)))</f>
        <v/>
      </c>
      <c r="J51" s="15" t="str">
        <f aca="false">IF(H51="","",H51+I51)</f>
        <v/>
      </c>
      <c r="K51" s="18" t="str">
        <f aca="false">IF(J51="","",J51/الإعدادات!$B$7)</f>
        <v/>
      </c>
      <c r="L51" s="15" t="str">
        <f aca="false">IF(OR(D51="محجوب",E51="محجوب",F51="محجوب"),"قيد المراجعة",IF(J51="",IF(OR(D51="غائب",D51="بعذر"),"إعادة مطلوبة","لم تكتمل"),IF(ROUND(J51,2)&gt;=ROUND(الإعدادات!$B$8,2),IF(I51&gt;0,"ناجح برأفة","ناجح"),IF(ISNUMBER(F51),"راسب","إعادة مطلوبة"))))</f>
        <v>لم تكتمل</v>
      </c>
    </row>
    <row r="52" customFormat="false" ht="15" hidden="false" customHeight="false" outlineLevel="0" collapsed="false">
      <c r="A52" s="15" t="s">
        <v>58</v>
      </c>
      <c r="B52" s="16" t="str">
        <f aca="false">INDEX(الدرجات!$B$3:$B$10,MATCH($A52,الدرجات!$A$3:$A$10,0))</f>
        <v>مارك ماهر</v>
      </c>
      <c r="C52" s="16" t="str">
        <f aca="false">الإعدادات!$B$24</f>
        <v>الرعاية والافتقاد</v>
      </c>
      <c r="D52" s="17" t="str">
        <f aca="false">IF(INDEX(الدرجات!$C$3:$W$10,MATCH($A52,الدرجات!$A$3:$A$10,0),16)="","",INDEX(الدرجات!$C$3:$W$10,MATCH($A52,الدرجات!$A$3:$A$10,0),16))</f>
        <v/>
      </c>
      <c r="E52" s="17" t="str">
        <f aca="false">IF(INDEX(الدرجات!$C$3:$W$10,MATCH($A52,الدرجات!$A$3:$A$10,0),17)="","",INDEX(الدرجات!$C$3:$W$10,MATCH($A52,الدرجات!$A$3:$A$10,0),17))</f>
        <v/>
      </c>
      <c r="F52" s="17" t="str">
        <f aca="false">IF(INDEX(الدرجات!$C$3:$W$10,MATCH($A52,الدرجات!$A$3:$A$10,0),18)="","",INDEX(الدرجات!$C$3:$W$10,MATCH($A52,الدرجات!$A$3:$A$10,0),18))</f>
        <v/>
      </c>
      <c r="G52" s="15" t="str">
        <f aca="false">IF(OR(D52="محجوب",E52="محجوب",F52="محجوب"),"",IF(ISNUMBER(F52),IF(الإعدادات!$B$6="سقف",MIN(F52,الإعدادات!$B$10),F52),IF(ISNUMBER(D52),D52,"")))</f>
        <v/>
      </c>
      <c r="H52" s="15" t="str">
        <f aca="false">IF(OR(D52="محجوب",E52="محجوب",F52="محجوب"),"",IF(AND(ISNUMBER(G52),ISNUMBER(E52)),G52+E52,""))</f>
        <v/>
      </c>
      <c r="I52" s="15" t="str">
        <f aca="false">IF(H52="","",IF(H52&gt;=الإعدادات!$B$8,0,IF(ROUND(الإعدادات!$B$8-H52,2)&lt;=الإعدادات!$B$9,ROUND(الإعدادات!$B$8-H52,2),0)))</f>
        <v/>
      </c>
      <c r="J52" s="15" t="str">
        <f aca="false">IF(H52="","",H52+I52)</f>
        <v/>
      </c>
      <c r="K52" s="18" t="str">
        <f aca="false">IF(J52="","",J52/الإعدادات!$B$7)</f>
        <v/>
      </c>
      <c r="L52" s="15" t="str">
        <f aca="false">IF(OR(D52="محجوب",E52="محجوب",F52="محجوب"),"قيد المراجعة",IF(J52="",IF(OR(D52="غائب",D52="بعذر"),"إعادة مطلوبة","لم تكتمل"),IF(ROUND(J52,2)&gt;=ROUND(الإعدادات!$B$8,2),IF(I52&gt;0,"ناجح برأفة","ناجح"),IF(ISNUMBER(F52),"راسب","إعادة مطلوبة"))))</f>
        <v>لم تكتمل</v>
      </c>
    </row>
    <row r="53" customFormat="false" ht="15" hidden="false" customHeight="false" outlineLevel="0" collapsed="false">
      <c r="A53" s="15" t="s">
        <v>58</v>
      </c>
      <c r="B53" s="16" t="str">
        <f aca="false">INDEX(الدرجات!$B$3:$B$10,MATCH($A53,الدرجات!$A$3:$A$10,0))</f>
        <v>مارك ماهر</v>
      </c>
      <c r="C53" s="16" t="str">
        <f aca="false">الإعدادات!$B$25</f>
        <v>اللاهوت المقارن</v>
      </c>
      <c r="D53" s="17" t="str">
        <f aca="false">IF(INDEX(الدرجات!$C$3:$W$10,MATCH($A53,الدرجات!$A$3:$A$10,0),19)="","",INDEX(الدرجات!$C$3:$W$10,MATCH($A53,الدرجات!$A$3:$A$10,0),19))</f>
        <v/>
      </c>
      <c r="E53" s="17" t="str">
        <f aca="false">IF(INDEX(الدرجات!$C$3:$W$10,MATCH($A53,الدرجات!$A$3:$A$10,0),20)="","",INDEX(الدرجات!$C$3:$W$10,MATCH($A53,الدرجات!$A$3:$A$10,0),20))</f>
        <v/>
      </c>
      <c r="F53" s="17" t="str">
        <f aca="false">IF(INDEX(الدرجات!$C$3:$W$10,MATCH($A53,الدرجات!$A$3:$A$10,0),21)="","",INDEX(الدرجات!$C$3:$W$10,MATCH($A53,الدرجات!$A$3:$A$10,0),21))</f>
        <v/>
      </c>
      <c r="G53" s="15" t="str">
        <f aca="false">IF(OR(D53="محجوب",E53="محجوب",F53="محجوب"),"",IF(ISNUMBER(F53),IF(الإعدادات!$B$6="سقف",MIN(F53,الإعدادات!$B$10),F53),IF(ISNUMBER(D53),D53,"")))</f>
        <v/>
      </c>
      <c r="H53" s="15" t="str">
        <f aca="false">IF(OR(D53="محجوب",E53="محجوب",F53="محجوب"),"",IF(AND(ISNUMBER(G53),ISNUMBER(E53)),G53+E53,""))</f>
        <v/>
      </c>
      <c r="I53" s="15" t="str">
        <f aca="false">IF(H53="","",IF(H53&gt;=الإعدادات!$B$8,0,IF(ROUND(الإعدادات!$B$8-H53,2)&lt;=الإعدادات!$B$9,ROUND(الإعدادات!$B$8-H53,2),0)))</f>
        <v/>
      </c>
      <c r="J53" s="15" t="str">
        <f aca="false">IF(H53="","",H53+I53)</f>
        <v/>
      </c>
      <c r="K53" s="18" t="str">
        <f aca="false">IF(J53="","",J53/الإعدادات!$B$7)</f>
        <v/>
      </c>
      <c r="L53" s="15" t="str">
        <f aca="false">IF(OR(D53="محجوب",E53="محجوب",F53="محجوب"),"قيد المراجعة",IF(J53="",IF(OR(D53="غائب",D53="بعذر"),"إعادة مطلوبة","لم تكتمل"),IF(ROUND(J53,2)&gt;=ROUND(الإعدادات!$B$8,2),IF(I53&gt;0,"ناجح برأفة","ناجح"),IF(ISNUMBER(F53),"راسب","إعادة مطلوبة"))))</f>
        <v>لم تكتمل</v>
      </c>
    </row>
    <row r="54" customFormat="false" ht="15" hidden="false" customHeight="false" outlineLevel="0" collapsed="false">
      <c r="A54" s="15" t="s">
        <v>60</v>
      </c>
      <c r="B54" s="16" t="str">
        <f aca="false">INDEX(الدرجات!$B$3:$B$10,MATCH($A54,الدرجات!$A$3:$A$10,0))</f>
        <v>فيرينا نبيل</v>
      </c>
      <c r="C54" s="16" t="str">
        <f aca="false">الإعدادات!$B$19</f>
        <v>العقيدة المسيحية</v>
      </c>
      <c r="D54" s="17" t="str">
        <f aca="false">IF(INDEX(الدرجات!$C$3:$W$10,MATCH($A54,الدرجات!$A$3:$A$10,0),1)="","",INDEX(الدرجات!$C$3:$W$10,MATCH($A54,الدرجات!$A$3:$A$10,0),1))</f>
        <v/>
      </c>
      <c r="E54" s="17" t="str">
        <f aca="false">IF(INDEX(الدرجات!$C$3:$W$10,MATCH($A54,الدرجات!$A$3:$A$10,0),2)="","",INDEX(الدرجات!$C$3:$W$10,MATCH($A54,الدرجات!$A$3:$A$10,0),2))</f>
        <v/>
      </c>
      <c r="F54" s="17" t="str">
        <f aca="false">IF(INDEX(الدرجات!$C$3:$W$10,MATCH($A54,الدرجات!$A$3:$A$10,0),3)="","",INDEX(الدرجات!$C$3:$W$10,MATCH($A54,الدرجات!$A$3:$A$10,0),3))</f>
        <v/>
      </c>
      <c r="G54" s="15" t="str">
        <f aca="false">IF(OR(D54="محجوب",E54="محجوب",F54="محجوب"),"",IF(ISNUMBER(F54),IF(الإعدادات!$B$6="سقف",MIN(F54,الإعدادات!$B$10),F54),IF(ISNUMBER(D54),D54,"")))</f>
        <v/>
      </c>
      <c r="H54" s="15" t="str">
        <f aca="false">IF(OR(D54="محجوب",E54="محجوب",F54="محجوب"),"",IF(AND(ISNUMBER(G54),ISNUMBER(E54)),G54+E54,""))</f>
        <v/>
      </c>
      <c r="I54" s="15" t="str">
        <f aca="false">IF(H54="","",IF(H54&gt;=الإعدادات!$B$8,0,IF(ROUND(الإعدادات!$B$8-H54,2)&lt;=الإعدادات!$B$9,ROUND(الإعدادات!$B$8-H54,2),0)))</f>
        <v/>
      </c>
      <c r="J54" s="15" t="str">
        <f aca="false">IF(H54="","",H54+I54)</f>
        <v/>
      </c>
      <c r="K54" s="18" t="str">
        <f aca="false">IF(J54="","",J54/الإعدادات!$B$7)</f>
        <v/>
      </c>
      <c r="L54" s="15" t="str">
        <f aca="false">IF(OR(D54="محجوب",E54="محجوب",F54="محجوب"),"قيد المراجعة",IF(J54="",IF(OR(D54="غائب",D54="بعذر"),"إعادة مطلوبة","لم تكتمل"),IF(ROUND(J54,2)&gt;=ROUND(الإعدادات!$B$8,2),IF(I54&gt;0,"ناجح برأفة","ناجح"),IF(ISNUMBER(F54),"راسب","إعادة مطلوبة"))))</f>
        <v>لم تكتمل</v>
      </c>
    </row>
    <row r="55" customFormat="false" ht="15" hidden="false" customHeight="false" outlineLevel="0" collapsed="false">
      <c r="A55" s="15" t="s">
        <v>60</v>
      </c>
      <c r="B55" s="16" t="str">
        <f aca="false">INDEX(الدرجات!$B$3:$B$10,MATCH($A55,الدرجات!$A$3:$A$10,0))</f>
        <v>فيرينا نبيل</v>
      </c>
      <c r="C55" s="16" t="str">
        <f aca="false">الإعدادات!$B$20</f>
        <v>العهد القديم</v>
      </c>
      <c r="D55" s="17" t="str">
        <f aca="false">IF(INDEX(الدرجات!$C$3:$W$10,MATCH($A55,الدرجات!$A$3:$A$10,0),4)="","",INDEX(الدرجات!$C$3:$W$10,MATCH($A55,الدرجات!$A$3:$A$10,0),4))</f>
        <v/>
      </c>
      <c r="E55" s="17" t="str">
        <f aca="false">IF(INDEX(الدرجات!$C$3:$W$10,MATCH($A55,الدرجات!$A$3:$A$10,0),5)="","",INDEX(الدرجات!$C$3:$W$10,MATCH($A55,الدرجات!$A$3:$A$10,0),5))</f>
        <v/>
      </c>
      <c r="F55" s="17" t="str">
        <f aca="false">IF(INDEX(الدرجات!$C$3:$W$10,MATCH($A55,الدرجات!$A$3:$A$10,0),6)="","",INDEX(الدرجات!$C$3:$W$10,MATCH($A55,الدرجات!$A$3:$A$10,0),6))</f>
        <v/>
      </c>
      <c r="G55" s="15" t="str">
        <f aca="false">IF(OR(D55="محجوب",E55="محجوب",F55="محجوب"),"",IF(ISNUMBER(F55),IF(الإعدادات!$B$6="سقف",MIN(F55,الإعدادات!$B$10),F55),IF(ISNUMBER(D55),D55,"")))</f>
        <v/>
      </c>
      <c r="H55" s="15" t="str">
        <f aca="false">IF(OR(D55="محجوب",E55="محجوب",F55="محجوب"),"",IF(AND(ISNUMBER(G55),ISNUMBER(E55)),G55+E55,""))</f>
        <v/>
      </c>
      <c r="I55" s="15" t="str">
        <f aca="false">IF(H55="","",IF(H55&gt;=الإعدادات!$B$8,0,IF(ROUND(الإعدادات!$B$8-H55,2)&lt;=الإعدادات!$B$9,ROUND(الإعدادات!$B$8-H55,2),0)))</f>
        <v/>
      </c>
      <c r="J55" s="15" t="str">
        <f aca="false">IF(H55="","",H55+I55)</f>
        <v/>
      </c>
      <c r="K55" s="18" t="str">
        <f aca="false">IF(J55="","",J55/الإعدادات!$B$7)</f>
        <v/>
      </c>
      <c r="L55" s="15" t="str">
        <f aca="false">IF(OR(D55="محجوب",E55="محجوب",F55="محجوب"),"قيد المراجعة",IF(J55="",IF(OR(D55="غائب",D55="بعذر"),"إعادة مطلوبة","لم تكتمل"),IF(ROUND(J55,2)&gt;=ROUND(الإعدادات!$B$8,2),IF(I55&gt;0,"ناجح برأفة","ناجح"),IF(ISNUMBER(F55),"راسب","إعادة مطلوبة"))))</f>
        <v>لم تكتمل</v>
      </c>
    </row>
    <row r="56" customFormat="false" ht="15" hidden="false" customHeight="false" outlineLevel="0" collapsed="false">
      <c r="A56" s="15" t="s">
        <v>60</v>
      </c>
      <c r="B56" s="16" t="str">
        <f aca="false">INDEX(الدرجات!$B$3:$B$10,MATCH($A56,الدرجات!$A$3:$A$10,0))</f>
        <v>فيرينا نبيل</v>
      </c>
      <c r="C56" s="16" t="str">
        <f aca="false">الإعدادات!$B$21</f>
        <v>العهد الجديد</v>
      </c>
      <c r="D56" s="17" t="str">
        <f aca="false">IF(INDEX(الدرجات!$C$3:$W$10,MATCH($A56,الدرجات!$A$3:$A$10,0),7)="","",INDEX(الدرجات!$C$3:$W$10,MATCH($A56,الدرجات!$A$3:$A$10,0),7))</f>
        <v/>
      </c>
      <c r="E56" s="17" t="str">
        <f aca="false">IF(INDEX(الدرجات!$C$3:$W$10,MATCH($A56,الدرجات!$A$3:$A$10,0),8)="","",INDEX(الدرجات!$C$3:$W$10,MATCH($A56,الدرجات!$A$3:$A$10,0),8))</f>
        <v/>
      </c>
      <c r="F56" s="17" t="str">
        <f aca="false">IF(INDEX(الدرجات!$C$3:$W$10,MATCH($A56,الدرجات!$A$3:$A$10,0),9)="","",INDEX(الدرجات!$C$3:$W$10,MATCH($A56,الدرجات!$A$3:$A$10,0),9))</f>
        <v/>
      </c>
      <c r="G56" s="15" t="str">
        <f aca="false">IF(OR(D56="محجوب",E56="محجوب",F56="محجوب"),"",IF(ISNUMBER(F56),IF(الإعدادات!$B$6="سقف",MIN(F56,الإعدادات!$B$10),F56),IF(ISNUMBER(D56),D56,"")))</f>
        <v/>
      </c>
      <c r="H56" s="15" t="str">
        <f aca="false">IF(OR(D56="محجوب",E56="محجوب",F56="محجوب"),"",IF(AND(ISNUMBER(G56),ISNUMBER(E56)),G56+E56,""))</f>
        <v/>
      </c>
      <c r="I56" s="15" t="str">
        <f aca="false">IF(H56="","",IF(H56&gt;=الإعدادات!$B$8,0,IF(ROUND(الإعدادات!$B$8-H56,2)&lt;=الإعدادات!$B$9,ROUND(الإعدادات!$B$8-H56,2),0)))</f>
        <v/>
      </c>
      <c r="J56" s="15" t="str">
        <f aca="false">IF(H56="","",H56+I56)</f>
        <v/>
      </c>
      <c r="K56" s="18" t="str">
        <f aca="false">IF(J56="","",J56/الإعدادات!$B$7)</f>
        <v/>
      </c>
      <c r="L56" s="15" t="str">
        <f aca="false">IF(OR(D56="محجوب",E56="محجوب",F56="محجوب"),"قيد المراجعة",IF(J56="",IF(OR(D56="غائب",D56="بعذر"),"إعادة مطلوبة","لم تكتمل"),IF(ROUND(J56,2)&gt;=ROUND(الإعدادات!$B$8,2),IF(I56&gt;0,"ناجح برأفة","ناجح"),IF(ISNUMBER(F56),"راسب","إعادة مطلوبة"))))</f>
        <v>لم تكتمل</v>
      </c>
    </row>
    <row r="57" customFormat="false" ht="15" hidden="false" customHeight="false" outlineLevel="0" collapsed="false">
      <c r="A57" s="15" t="s">
        <v>60</v>
      </c>
      <c r="B57" s="16" t="str">
        <f aca="false">INDEX(الدرجات!$B$3:$B$10,MATCH($A57,الدرجات!$A$3:$A$10,0))</f>
        <v>فيرينا نبيل</v>
      </c>
      <c r="C57" s="16" t="str">
        <f aca="false">الإعدادات!$B$22</f>
        <v>الطقوس والألحان</v>
      </c>
      <c r="D57" s="17" t="str">
        <f aca="false">IF(INDEX(الدرجات!$C$3:$W$10,MATCH($A57,الدرجات!$A$3:$A$10,0),10)="","",INDEX(الدرجات!$C$3:$W$10,MATCH($A57,الدرجات!$A$3:$A$10,0),10))</f>
        <v/>
      </c>
      <c r="E57" s="17" t="str">
        <f aca="false">IF(INDEX(الدرجات!$C$3:$W$10,MATCH($A57,الدرجات!$A$3:$A$10,0),11)="","",INDEX(الدرجات!$C$3:$W$10,MATCH($A57,الدرجات!$A$3:$A$10,0),11))</f>
        <v/>
      </c>
      <c r="F57" s="17" t="str">
        <f aca="false">IF(INDEX(الدرجات!$C$3:$W$10,MATCH($A57,الدرجات!$A$3:$A$10,0),12)="","",INDEX(الدرجات!$C$3:$W$10,MATCH($A57,الدرجات!$A$3:$A$10,0),12))</f>
        <v/>
      </c>
      <c r="G57" s="15" t="str">
        <f aca="false">IF(OR(D57="محجوب",E57="محجوب",F57="محجوب"),"",IF(ISNUMBER(F57),IF(الإعدادات!$B$6="سقف",MIN(F57,الإعدادات!$B$10),F57),IF(ISNUMBER(D57),D57,"")))</f>
        <v/>
      </c>
      <c r="H57" s="15" t="str">
        <f aca="false">IF(OR(D57="محجوب",E57="محجوب",F57="محجوب"),"",IF(AND(ISNUMBER(G57),ISNUMBER(E57)),G57+E57,""))</f>
        <v/>
      </c>
      <c r="I57" s="15" t="str">
        <f aca="false">IF(H57="","",IF(H57&gt;=الإعدادات!$B$8,0,IF(ROUND(الإعدادات!$B$8-H57,2)&lt;=الإعدادات!$B$9,ROUND(الإعدادات!$B$8-H57,2),0)))</f>
        <v/>
      </c>
      <c r="J57" s="15" t="str">
        <f aca="false">IF(H57="","",H57+I57)</f>
        <v/>
      </c>
      <c r="K57" s="18" t="str">
        <f aca="false">IF(J57="","",J57/الإعدادات!$B$7)</f>
        <v/>
      </c>
      <c r="L57" s="15" t="str">
        <f aca="false">IF(OR(D57="محجوب",E57="محجوب",F57="محجوب"),"قيد المراجعة",IF(J57="",IF(OR(D57="غائب",D57="بعذر"),"إعادة مطلوبة","لم تكتمل"),IF(ROUND(J57,2)&gt;=ROUND(الإعدادات!$B$8,2),IF(I57&gt;0,"ناجح برأفة","ناجح"),IF(ISNUMBER(F57),"راسب","إعادة مطلوبة"))))</f>
        <v>لم تكتمل</v>
      </c>
    </row>
    <row r="58" customFormat="false" ht="15" hidden="false" customHeight="false" outlineLevel="0" collapsed="false">
      <c r="A58" s="15" t="s">
        <v>60</v>
      </c>
      <c r="B58" s="16" t="str">
        <f aca="false">INDEX(الدرجات!$B$3:$B$10,MATCH($A58,الدرجات!$A$3:$A$10,0))</f>
        <v>فيرينا نبيل</v>
      </c>
      <c r="C58" s="16" t="str">
        <f aca="false">الإعدادات!$B$23</f>
        <v>تاريخ الكنيسة</v>
      </c>
      <c r="D58" s="17" t="str">
        <f aca="false">IF(INDEX(الدرجات!$C$3:$W$10,MATCH($A58,الدرجات!$A$3:$A$10,0),13)="","",INDEX(الدرجات!$C$3:$W$10,MATCH($A58,الدرجات!$A$3:$A$10,0),13))</f>
        <v/>
      </c>
      <c r="E58" s="17" t="str">
        <f aca="false">IF(INDEX(الدرجات!$C$3:$W$10,MATCH($A58,الدرجات!$A$3:$A$10,0),14)="","",INDEX(الدرجات!$C$3:$W$10,MATCH($A58,الدرجات!$A$3:$A$10,0),14))</f>
        <v/>
      </c>
      <c r="F58" s="17" t="str">
        <f aca="false">IF(INDEX(الدرجات!$C$3:$W$10,MATCH($A58,الدرجات!$A$3:$A$10,0),15)="","",INDEX(الدرجات!$C$3:$W$10,MATCH($A58,الدرجات!$A$3:$A$10,0),15))</f>
        <v/>
      </c>
      <c r="G58" s="15" t="str">
        <f aca="false">IF(OR(D58="محجوب",E58="محجوب",F58="محجوب"),"",IF(ISNUMBER(F58),IF(الإعدادات!$B$6="سقف",MIN(F58,الإعدادات!$B$10),F58),IF(ISNUMBER(D58),D58,"")))</f>
        <v/>
      </c>
      <c r="H58" s="15" t="str">
        <f aca="false">IF(OR(D58="محجوب",E58="محجوب",F58="محجوب"),"",IF(AND(ISNUMBER(G58),ISNUMBER(E58)),G58+E58,""))</f>
        <v/>
      </c>
      <c r="I58" s="15" t="str">
        <f aca="false">IF(H58="","",IF(H58&gt;=الإعدادات!$B$8,0,IF(ROUND(الإعدادات!$B$8-H58,2)&lt;=الإعدادات!$B$9,ROUND(الإعدادات!$B$8-H58,2),0)))</f>
        <v/>
      </c>
      <c r="J58" s="15" t="str">
        <f aca="false">IF(H58="","",H58+I58)</f>
        <v/>
      </c>
      <c r="K58" s="18" t="str">
        <f aca="false">IF(J58="","",J58/الإعدادات!$B$7)</f>
        <v/>
      </c>
      <c r="L58" s="15" t="str">
        <f aca="false">IF(OR(D58="محجوب",E58="محجوب",F58="محجوب"),"قيد المراجعة",IF(J58="",IF(OR(D58="غائب",D58="بعذر"),"إعادة مطلوبة","لم تكتمل"),IF(ROUND(J58,2)&gt;=ROUND(الإعدادات!$B$8,2),IF(I58&gt;0,"ناجح برأفة","ناجح"),IF(ISNUMBER(F58),"راسب","إعادة مطلوبة"))))</f>
        <v>لم تكتمل</v>
      </c>
    </row>
    <row r="59" customFormat="false" ht="15" hidden="false" customHeight="false" outlineLevel="0" collapsed="false">
      <c r="A59" s="15" t="s">
        <v>60</v>
      </c>
      <c r="B59" s="16" t="str">
        <f aca="false">INDEX(الدرجات!$B$3:$B$10,MATCH($A59,الدرجات!$A$3:$A$10,0))</f>
        <v>فيرينا نبيل</v>
      </c>
      <c r="C59" s="16" t="str">
        <f aca="false">الإعدادات!$B$24</f>
        <v>الرعاية والافتقاد</v>
      </c>
      <c r="D59" s="17" t="str">
        <f aca="false">IF(INDEX(الدرجات!$C$3:$W$10,MATCH($A59,الدرجات!$A$3:$A$10,0),16)="","",INDEX(الدرجات!$C$3:$W$10,MATCH($A59,الدرجات!$A$3:$A$10,0),16))</f>
        <v/>
      </c>
      <c r="E59" s="17" t="str">
        <f aca="false">IF(INDEX(الدرجات!$C$3:$W$10,MATCH($A59,الدرجات!$A$3:$A$10,0),17)="","",INDEX(الدرجات!$C$3:$W$10,MATCH($A59,الدرجات!$A$3:$A$10,0),17))</f>
        <v/>
      </c>
      <c r="F59" s="17" t="str">
        <f aca="false">IF(INDEX(الدرجات!$C$3:$W$10,MATCH($A59,الدرجات!$A$3:$A$10,0),18)="","",INDEX(الدرجات!$C$3:$W$10,MATCH($A59,الدرجات!$A$3:$A$10,0),18))</f>
        <v/>
      </c>
      <c r="G59" s="15" t="str">
        <f aca="false">IF(OR(D59="محجوب",E59="محجوب",F59="محجوب"),"",IF(ISNUMBER(F59),IF(الإعدادات!$B$6="سقف",MIN(F59,الإعدادات!$B$10),F59),IF(ISNUMBER(D59),D59,"")))</f>
        <v/>
      </c>
      <c r="H59" s="15" t="str">
        <f aca="false">IF(OR(D59="محجوب",E59="محجوب",F59="محجوب"),"",IF(AND(ISNUMBER(G59),ISNUMBER(E59)),G59+E59,""))</f>
        <v/>
      </c>
      <c r="I59" s="15" t="str">
        <f aca="false">IF(H59="","",IF(H59&gt;=الإعدادات!$B$8,0,IF(ROUND(الإعدادات!$B$8-H59,2)&lt;=الإعدادات!$B$9,ROUND(الإعدادات!$B$8-H59,2),0)))</f>
        <v/>
      </c>
      <c r="J59" s="15" t="str">
        <f aca="false">IF(H59="","",H59+I59)</f>
        <v/>
      </c>
      <c r="K59" s="18" t="str">
        <f aca="false">IF(J59="","",J59/الإعدادات!$B$7)</f>
        <v/>
      </c>
      <c r="L59" s="15" t="str">
        <f aca="false">IF(OR(D59="محجوب",E59="محجوب",F59="محجوب"),"قيد المراجعة",IF(J59="",IF(OR(D59="غائب",D59="بعذر"),"إعادة مطلوبة","لم تكتمل"),IF(ROUND(J59,2)&gt;=ROUND(الإعدادات!$B$8,2),IF(I59&gt;0,"ناجح برأفة","ناجح"),IF(ISNUMBER(F59),"راسب","إعادة مطلوبة"))))</f>
        <v>لم تكتمل</v>
      </c>
    </row>
    <row r="60" customFormat="false" ht="15" hidden="false" customHeight="false" outlineLevel="0" collapsed="false">
      <c r="A60" s="15" t="s">
        <v>60</v>
      </c>
      <c r="B60" s="16" t="str">
        <f aca="false">INDEX(الدرجات!$B$3:$B$10,MATCH($A60,الدرجات!$A$3:$A$10,0))</f>
        <v>فيرينا نبيل</v>
      </c>
      <c r="C60" s="16" t="str">
        <f aca="false">الإعدادات!$B$25</f>
        <v>اللاهوت المقارن</v>
      </c>
      <c r="D60" s="17" t="str">
        <f aca="false">IF(INDEX(الدرجات!$C$3:$W$10,MATCH($A60,الدرجات!$A$3:$A$10,0),19)="","",INDEX(الدرجات!$C$3:$W$10,MATCH($A60,الدرجات!$A$3:$A$10,0),19))</f>
        <v/>
      </c>
      <c r="E60" s="17" t="str">
        <f aca="false">IF(INDEX(الدرجات!$C$3:$W$10,MATCH($A60,الدرجات!$A$3:$A$10,0),20)="","",INDEX(الدرجات!$C$3:$W$10,MATCH($A60,الدرجات!$A$3:$A$10,0),20))</f>
        <v/>
      </c>
      <c r="F60" s="17" t="str">
        <f aca="false">IF(INDEX(الدرجات!$C$3:$W$10,MATCH($A60,الدرجات!$A$3:$A$10,0),21)="","",INDEX(الدرجات!$C$3:$W$10,MATCH($A60,الدرجات!$A$3:$A$10,0),21))</f>
        <v/>
      </c>
      <c r="G60" s="15" t="str">
        <f aca="false">IF(OR(D60="محجوب",E60="محجوب",F60="محجوب"),"",IF(ISNUMBER(F60),IF(الإعدادات!$B$6="سقف",MIN(F60,الإعدادات!$B$10),F60),IF(ISNUMBER(D60),D60,"")))</f>
        <v/>
      </c>
      <c r="H60" s="15" t="str">
        <f aca="false">IF(OR(D60="محجوب",E60="محجوب",F60="محجوب"),"",IF(AND(ISNUMBER(G60),ISNUMBER(E60)),G60+E60,""))</f>
        <v/>
      </c>
      <c r="I60" s="15" t="str">
        <f aca="false">IF(H60="","",IF(H60&gt;=الإعدادات!$B$8,0,IF(ROUND(الإعدادات!$B$8-H60,2)&lt;=الإعدادات!$B$9,ROUND(الإعدادات!$B$8-H60,2),0)))</f>
        <v/>
      </c>
      <c r="J60" s="15" t="str">
        <f aca="false">IF(H60="","",H60+I60)</f>
        <v/>
      </c>
      <c r="K60" s="18" t="str">
        <f aca="false">IF(J60="","",J60/الإعدادات!$B$7)</f>
        <v/>
      </c>
      <c r="L60" s="15" t="str">
        <f aca="false">IF(OR(D60="محجوب",E60="محجوب",F60="محجوب"),"قيد المراجعة",IF(J60="",IF(OR(D60="غائب",D60="بعذر"),"إعادة مطلوبة","لم تكتمل"),IF(ROUND(J60,2)&gt;=ROUND(الإعدادات!$B$8,2),IF(I60&gt;0,"ناجح برأفة","ناجح"),IF(ISNUMBER(F60),"راسب","إعادة مطلوبة"))))</f>
        <v>لم تكتمل</v>
      </c>
    </row>
  </sheetData>
  <autoFilter ref="A4:L60"/>
  <conditionalFormatting sqref="K5:K60">
    <cfRule type="expression" priority="2" aboveAverage="0" equalAverage="0" bottom="0" percent="0" rank="0" text="" dxfId="2">
      <formula>AND(ISNUMBER(K5),K5&lt;الإعدادات!$B$4/100)</formula>
    </cfRule>
  </conditionalFormatting>
  <conditionalFormatting sqref="L5:L60">
    <cfRule type="expression" priority="3" aboveAverage="0" equalAverage="0" bottom="0" percent="0" rank="0" text="" dxfId="0">
      <formula>L5="قيد المراجعة"</formula>
    </cfRule>
    <cfRule type="expression" priority="4" aboveAverage="0" equalAverage="0" bottom="0" percent="0" rank="0" text="" dxfId="8">
      <formula>OR(L5="راسب",L5="إعادة مطلوبة")</formula>
    </cfRule>
    <cfRule type="expression" priority="5" aboveAverage="0" equalAverage="0" bottom="0" percent="0" rank="0" text="" dxfId="9">
      <formula>OR(L5="ناجح",L5="ناجح برأفة")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9A2E"/>
    <pageSetUpPr fitToPage="false"/>
  </sheetPr>
  <dimension ref="A1:C2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58"/>
  </cols>
  <sheetData>
    <row r="1" customFormat="false" ht="15" hidden="false" customHeight="false" outlineLevel="0" collapsed="false">
      <c r="A1" s="12" t="s">
        <v>79</v>
      </c>
    </row>
    <row r="2" customFormat="false" ht="15" hidden="false" customHeight="false" outlineLevel="0" collapsed="false">
      <c r="A2" s="19" t="s">
        <v>80</v>
      </c>
      <c r="B2" s="20" t="n">
        <v>70</v>
      </c>
      <c r="C2" s="21" t="s">
        <v>81</v>
      </c>
    </row>
    <row r="3" customFormat="false" ht="15" hidden="false" customHeight="false" outlineLevel="0" collapsed="false">
      <c r="A3" s="19" t="s">
        <v>82</v>
      </c>
      <c r="B3" s="20" t="n">
        <v>30</v>
      </c>
      <c r="C3" s="21" t="s">
        <v>81</v>
      </c>
    </row>
    <row r="4" customFormat="false" ht="15" hidden="false" customHeight="false" outlineLevel="0" collapsed="false">
      <c r="A4" s="19" t="s">
        <v>83</v>
      </c>
      <c r="B4" s="20" t="n">
        <v>60</v>
      </c>
      <c r="C4" s="21" t="s">
        <v>84</v>
      </c>
    </row>
    <row r="5" customFormat="false" ht="15" hidden="false" customHeight="false" outlineLevel="0" collapsed="false">
      <c r="A5" s="19" t="s">
        <v>85</v>
      </c>
      <c r="B5" s="20" t="n">
        <v>5</v>
      </c>
      <c r="C5" s="21" t="s">
        <v>86</v>
      </c>
    </row>
    <row r="6" customFormat="false" ht="15" hidden="false" customHeight="false" outlineLevel="0" collapsed="false">
      <c r="A6" s="19" t="s">
        <v>87</v>
      </c>
      <c r="B6" s="20" t="s">
        <v>88</v>
      </c>
      <c r="C6" s="21" t="s">
        <v>89</v>
      </c>
    </row>
    <row r="7" customFormat="false" ht="15" hidden="false" customHeight="false" outlineLevel="0" collapsed="false">
      <c r="A7" s="19" t="s">
        <v>90</v>
      </c>
      <c r="B7" s="22" t="n">
        <f aca="false">B2+B3</f>
        <v>100</v>
      </c>
      <c r="C7" s="21" t="s">
        <v>91</v>
      </c>
    </row>
    <row r="8" customFormat="false" ht="15" hidden="false" customHeight="false" outlineLevel="0" collapsed="false">
      <c r="A8" s="19" t="s">
        <v>92</v>
      </c>
      <c r="B8" s="22" t="n">
        <f aca="false">B7*B4/100</f>
        <v>60</v>
      </c>
      <c r="C8" s="21" t="s">
        <v>93</v>
      </c>
    </row>
    <row r="9" customFormat="false" ht="15" hidden="false" customHeight="false" outlineLevel="0" collapsed="false">
      <c r="A9" s="19" t="s">
        <v>94</v>
      </c>
      <c r="B9" s="22" t="n">
        <f aca="false">B7*B5/100</f>
        <v>5</v>
      </c>
      <c r="C9" s="21" t="s">
        <v>95</v>
      </c>
    </row>
    <row r="10" customFormat="false" ht="15" hidden="false" customHeight="false" outlineLevel="0" collapsed="false">
      <c r="A10" s="19" t="s">
        <v>96</v>
      </c>
      <c r="B10" s="22" t="n">
        <f aca="false">B2*B4/100</f>
        <v>42</v>
      </c>
      <c r="C10" s="21" t="s">
        <v>97</v>
      </c>
    </row>
    <row r="12" customFormat="false" ht="15" hidden="false" customHeight="false" outlineLevel="0" collapsed="false">
      <c r="A12" s="23" t="s">
        <v>98</v>
      </c>
    </row>
    <row r="13" customFormat="false" ht="15" hidden="false" customHeight="false" outlineLevel="0" collapsed="false">
      <c r="A13" s="19" t="s">
        <v>99</v>
      </c>
      <c r="B13" s="22" t="s">
        <v>100</v>
      </c>
      <c r="C13" s="21" t="s">
        <v>101</v>
      </c>
    </row>
    <row r="14" customFormat="false" ht="15" hidden="false" customHeight="false" outlineLevel="0" collapsed="false">
      <c r="A14" s="19" t="s">
        <v>102</v>
      </c>
      <c r="B14" s="22" t="s">
        <v>103</v>
      </c>
      <c r="C14" s="21" t="s">
        <v>104</v>
      </c>
    </row>
    <row r="15" customFormat="false" ht="15" hidden="false" customHeight="false" outlineLevel="0" collapsed="false">
      <c r="A15" s="19" t="s">
        <v>105</v>
      </c>
      <c r="B15" s="22" t="s">
        <v>106</v>
      </c>
      <c r="C15" s="21" t="s">
        <v>107</v>
      </c>
    </row>
    <row r="17" customFormat="false" ht="15" hidden="false" customHeight="false" outlineLevel="0" collapsed="false">
      <c r="A17" s="23" t="s">
        <v>108</v>
      </c>
    </row>
    <row r="18" customFormat="false" ht="15" hidden="false" customHeight="false" outlineLevel="0" collapsed="false">
      <c r="A18" s="24" t="s">
        <v>109</v>
      </c>
      <c r="B18" s="24" t="s">
        <v>110</v>
      </c>
    </row>
    <row r="19" customFormat="false" ht="15" hidden="false" customHeight="false" outlineLevel="0" collapsed="false">
      <c r="A19" s="22" t="s">
        <v>111</v>
      </c>
      <c r="B19" s="25" t="s">
        <v>112</v>
      </c>
    </row>
    <row r="20" customFormat="false" ht="15" hidden="false" customHeight="false" outlineLevel="0" collapsed="false">
      <c r="A20" s="22" t="s">
        <v>113</v>
      </c>
      <c r="B20" s="25" t="s">
        <v>114</v>
      </c>
    </row>
    <row r="21" customFormat="false" ht="15" hidden="false" customHeight="false" outlineLevel="0" collapsed="false">
      <c r="A21" s="22" t="s">
        <v>115</v>
      </c>
      <c r="B21" s="25" t="s">
        <v>116</v>
      </c>
    </row>
    <row r="22" customFormat="false" ht="15" hidden="false" customHeight="false" outlineLevel="0" collapsed="false">
      <c r="A22" s="22" t="s">
        <v>117</v>
      </c>
      <c r="B22" s="25" t="s">
        <v>118</v>
      </c>
    </row>
    <row r="23" customFormat="false" ht="15" hidden="false" customHeight="false" outlineLevel="0" collapsed="false">
      <c r="A23" s="22" t="s">
        <v>119</v>
      </c>
      <c r="B23" s="25" t="s">
        <v>120</v>
      </c>
    </row>
    <row r="24" customFormat="false" ht="15" hidden="false" customHeight="false" outlineLevel="0" collapsed="false">
      <c r="A24" s="22" t="s">
        <v>121</v>
      </c>
      <c r="B24" s="25" t="s">
        <v>122</v>
      </c>
    </row>
    <row r="25" customFormat="false" ht="15" hidden="false" customHeight="false" outlineLevel="0" collapsed="false">
      <c r="A25" s="22" t="s">
        <v>123</v>
      </c>
      <c r="B25" s="25" t="s">
        <v>124</v>
      </c>
    </row>
  </sheetData>
  <dataValidations count="1">
    <dataValidation allowBlank="false" errorStyle="stop" operator="between" showDropDown="false" showErrorMessage="false" showInputMessage="false" sqref="B6" type="list">
      <formula1>"سقف,كاملة"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A1:E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5"/>
    <col collapsed="false" customWidth="true" hidden="false" outlineLevel="0" max="5" min="3" style="0" width="13"/>
  </cols>
  <sheetData>
    <row r="1" customFormat="false" ht="17.35" hidden="false" customHeight="false" outlineLevel="0" collapsed="false">
      <c r="A1" s="26" t="s">
        <v>125</v>
      </c>
    </row>
    <row r="3" customFormat="false" ht="15" hidden="false" customHeight="false" outlineLevel="0" collapsed="false">
      <c r="A3" s="27" t="s">
        <v>126</v>
      </c>
    </row>
    <row r="4" customFormat="false" ht="15" hidden="false" customHeight="false" outlineLevel="0" collapsed="false">
      <c r="A4" s="28" t="s">
        <v>127</v>
      </c>
      <c r="B4" s="29" t="s">
        <v>128</v>
      </c>
    </row>
    <row r="5" customFormat="false" ht="15" hidden="false" customHeight="false" outlineLevel="0" collapsed="false">
      <c r="A5" s="28" t="s">
        <v>129</v>
      </c>
      <c r="B5" s="29" t="s">
        <v>130</v>
      </c>
    </row>
    <row r="6" customFormat="false" ht="15" hidden="false" customHeight="false" outlineLevel="0" collapsed="false">
      <c r="A6" s="28" t="s">
        <v>131</v>
      </c>
      <c r="B6" s="29" t="s">
        <v>132</v>
      </c>
    </row>
    <row r="7" customFormat="false" ht="15" hidden="false" customHeight="false" outlineLevel="0" collapsed="false">
      <c r="A7" s="28" t="s">
        <v>133</v>
      </c>
      <c r="B7" s="29" t="s">
        <v>134</v>
      </c>
    </row>
    <row r="8" customFormat="false" ht="15" hidden="false" customHeight="false" outlineLevel="0" collapsed="false">
      <c r="A8" s="28" t="s">
        <v>135</v>
      </c>
      <c r="B8" s="29" t="s">
        <v>136</v>
      </c>
    </row>
    <row r="9" customFormat="false" ht="15" hidden="false" customHeight="false" outlineLevel="0" collapsed="false">
      <c r="A9" s="28" t="s">
        <v>137</v>
      </c>
      <c r="B9" s="29" t="s">
        <v>138</v>
      </c>
    </row>
    <row r="10" customFormat="false" ht="15" hidden="false" customHeight="false" outlineLevel="0" collapsed="false">
      <c r="A10" s="28" t="s">
        <v>139</v>
      </c>
      <c r="B10" s="29" t="s">
        <v>140</v>
      </c>
    </row>
    <row r="11" customFormat="false" ht="15" hidden="false" customHeight="false" outlineLevel="0" collapsed="false">
      <c r="A11" s="27" t="s">
        <v>141</v>
      </c>
    </row>
    <row r="12" customFormat="false" ht="15" hidden="false" customHeight="false" outlineLevel="0" collapsed="false">
      <c r="A12" s="28" t="s">
        <v>142</v>
      </c>
      <c r="B12" s="29" t="s">
        <v>143</v>
      </c>
    </row>
    <row r="13" customFormat="false" ht="15" hidden="false" customHeight="false" outlineLevel="0" collapsed="false">
      <c r="A13" s="28" t="s">
        <v>142</v>
      </c>
      <c r="B13" s="29" t="s">
        <v>144</v>
      </c>
    </row>
    <row r="14" customFormat="false" ht="15" hidden="false" customHeight="false" outlineLevel="0" collapsed="false">
      <c r="A14" s="27" t="s">
        <v>145</v>
      </c>
    </row>
    <row r="15" customFormat="false" ht="15" hidden="false" customHeight="false" outlineLevel="0" collapsed="false">
      <c r="A15" s="28" t="s">
        <v>146</v>
      </c>
      <c r="B15" s="29" t="s">
        <v>147</v>
      </c>
    </row>
    <row r="16" customFormat="false" ht="15" hidden="false" customHeight="false" outlineLevel="0" collapsed="false">
      <c r="A16" s="28" t="s">
        <v>148</v>
      </c>
      <c r="B16" s="29" t="s">
        <v>149</v>
      </c>
    </row>
    <row r="17" customFormat="false" ht="15" hidden="false" customHeight="false" outlineLevel="0" collapsed="false">
      <c r="A17" s="28" t="s">
        <v>150</v>
      </c>
      <c r="B17" s="29" t="s">
        <v>151</v>
      </c>
    </row>
    <row r="19" customFormat="false" ht="15" hidden="false" customHeight="false" outlineLevel="0" collapsed="false">
      <c r="A19" s="27" t="s">
        <v>152</v>
      </c>
    </row>
    <row r="20" customFormat="false" ht="23.85" hidden="false" customHeight="false" outlineLevel="0" collapsed="false">
      <c r="A20" s="2" t="s">
        <v>23</v>
      </c>
      <c r="B20" s="2" t="s">
        <v>24</v>
      </c>
      <c r="C20" s="2" t="s">
        <v>153</v>
      </c>
      <c r="D20" s="2" t="s">
        <v>154</v>
      </c>
      <c r="E20" s="2" t="s">
        <v>155</v>
      </c>
    </row>
    <row r="21" customFormat="false" ht="15" hidden="false" customHeight="false" outlineLevel="0" collapsed="false">
      <c r="A21" s="7" t="s">
        <v>46</v>
      </c>
      <c r="B21" s="7" t="s">
        <v>47</v>
      </c>
      <c r="C21" s="7" t="n">
        <v>58</v>
      </c>
      <c r="D21" s="7" t="n">
        <v>26</v>
      </c>
      <c r="E21" s="7"/>
    </row>
    <row r="22" customFormat="false" ht="15" hidden="false" customHeight="false" outlineLevel="0" collapsed="false">
      <c r="A22" s="21" t="s">
        <v>156</v>
      </c>
    </row>
    <row r="23" customFormat="false" ht="15" hidden="false" customHeight="false" outlineLevel="0" collapsed="false">
      <c r="A23" s="21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2026-10-08T18:50:50Z</dcterms:created>
  <dc:creator>openpyxl</dc:creator>
  <dc:description/>
  <dc:language>en-US</dc:language>
  <cp:lastModifiedBy/>
  <dcterms:modified xsi:type="dcterms:W3CDTF">2026-10-08T18:50:51Z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